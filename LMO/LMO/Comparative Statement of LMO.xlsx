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Z:\JECRC_JMCH\LMO\"/>
    </mc:Choice>
  </mc:AlternateContent>
  <xr:revisionPtr revIDLastSave="0" documentId="13_ncr:1_{E0BCC2D6-8161-4A1E-ACAC-E6A65AD30E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MO_Final Working" sheetId="5" r:id="rId1"/>
    <sheet name="Sheet1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6" l="1"/>
  <c r="M10" i="6"/>
  <c r="P10" i="6"/>
  <c r="S10" i="6"/>
  <c r="S14" i="6" s="1"/>
  <c r="W10" i="6"/>
  <c r="W14" i="6" s="1"/>
  <c r="Z10" i="6"/>
  <c r="Z14" i="6" s="1"/>
  <c r="J11" i="6"/>
  <c r="M11" i="6"/>
  <c r="P11" i="6"/>
  <c r="S11" i="6"/>
  <c r="W11" i="6"/>
  <c r="J12" i="6"/>
  <c r="J14" i="6" s="1"/>
  <c r="M12" i="6"/>
  <c r="P12" i="6"/>
  <c r="S12" i="6"/>
  <c r="W12" i="6"/>
  <c r="Z12" i="6"/>
  <c r="M14" i="6"/>
  <c r="P14" i="6"/>
  <c r="J17" i="6"/>
  <c r="J24" i="6" s="1"/>
  <c r="M17" i="6"/>
  <c r="M24" i="6" s="1"/>
  <c r="P17" i="6"/>
  <c r="P24" i="6" s="1"/>
  <c r="S17" i="6"/>
  <c r="S24" i="6" s="1"/>
  <c r="W17" i="6"/>
  <c r="W24" i="6" s="1"/>
  <c r="Z17" i="6"/>
  <c r="Z24" i="6" s="1"/>
  <c r="M18" i="6"/>
  <c r="P18" i="6"/>
  <c r="S18" i="6"/>
  <c r="J21" i="6"/>
  <c r="M21" i="6"/>
  <c r="P21" i="6"/>
  <c r="S21" i="6"/>
  <c r="W21" i="6"/>
  <c r="J22" i="6"/>
  <c r="M22" i="6"/>
  <c r="P22" i="6"/>
  <c r="S22" i="6"/>
  <c r="W22" i="6"/>
  <c r="J25" i="6" l="1"/>
  <c r="J26" i="6"/>
  <c r="Z25" i="6"/>
  <c r="Z26" i="6"/>
  <c r="W25" i="6"/>
  <c r="W26" i="6"/>
  <c r="S25" i="6"/>
  <c r="S26" i="6"/>
  <c r="P25" i="6"/>
  <c r="P26" i="6"/>
  <c r="M25" i="6"/>
  <c r="M26" i="6"/>
  <c r="I16" i="5"/>
  <c r="I10" i="5"/>
  <c r="I11" i="5"/>
  <c r="I9" i="5"/>
  <c r="Y16" i="5"/>
  <c r="Y23" i="5" s="1"/>
  <c r="Y24" i="5" s="1"/>
  <c r="Y25" i="5" s="1"/>
  <c r="R16" i="5"/>
  <c r="V16" i="5"/>
  <c r="Y11" i="5"/>
  <c r="Y9" i="5"/>
  <c r="O9" i="5"/>
  <c r="O16" i="5"/>
  <c r="L9" i="5"/>
  <c r="Y13" i="5" l="1"/>
  <c r="V10" i="5"/>
  <c r="V11" i="5"/>
  <c r="V9" i="5"/>
  <c r="V21" i="5"/>
  <c r="R21" i="5"/>
  <c r="O21" i="5"/>
  <c r="L21" i="5"/>
  <c r="I21" i="5"/>
  <c r="V20" i="5"/>
  <c r="R20" i="5"/>
  <c r="O20" i="5"/>
  <c r="L20" i="5"/>
  <c r="I20" i="5"/>
  <c r="R17" i="5"/>
  <c r="O17" i="5"/>
  <c r="L17" i="5"/>
  <c r="L16" i="5"/>
  <c r="R11" i="5"/>
  <c r="O11" i="5"/>
  <c r="L11" i="5"/>
  <c r="R10" i="5"/>
  <c r="O10" i="5"/>
  <c r="L10" i="5"/>
  <c r="R9" i="5"/>
  <c r="O13" i="5" l="1"/>
  <c r="V23" i="5"/>
  <c r="V24" i="5" s="1"/>
  <c r="V25" i="5" s="1"/>
  <c r="R13" i="5"/>
  <c r="V13" i="5"/>
  <c r="I23" i="5"/>
  <c r="L23" i="5"/>
  <c r="O23" i="5"/>
  <c r="O24" i="5" s="1"/>
  <c r="O25" i="5" s="1"/>
  <c r="R23" i="5"/>
  <c r="R24" i="5" s="1"/>
  <c r="R25" i="5" s="1"/>
  <c r="I13" i="5"/>
  <c r="L13" i="5"/>
  <c r="L24" i="5" l="1"/>
  <c r="L25" i="5" s="1"/>
  <c r="I24" i="5"/>
  <c r="I25" i="5" s="1"/>
</calcChain>
</file>

<file path=xl/sharedStrings.xml><?xml version="1.0" encoding="utf-8"?>
<sst xmlns="http://schemas.openxmlformats.org/spreadsheetml/2006/main" count="417" uniqueCount="111">
  <si>
    <t>Vendor 1</t>
  </si>
  <si>
    <t>Vendor 2</t>
  </si>
  <si>
    <t>Vendor 3</t>
  </si>
  <si>
    <t>Vendor 4</t>
  </si>
  <si>
    <t>Vendor 5</t>
  </si>
  <si>
    <t>Initial Quoted Price (INR)</t>
  </si>
  <si>
    <t>Total Amount (INR)</t>
  </si>
  <si>
    <t>S no.</t>
  </si>
  <si>
    <t>Particulars</t>
  </si>
  <si>
    <t>Vendor Name</t>
  </si>
  <si>
    <t>Model No.</t>
  </si>
  <si>
    <t>Contact No.</t>
  </si>
  <si>
    <t>Sub Total (INR)</t>
  </si>
  <si>
    <t>Grand Total (INR)</t>
  </si>
  <si>
    <t>One time Asset Installation &amp; Commissioning Charges</t>
  </si>
  <si>
    <t>-</t>
  </si>
  <si>
    <t>Storage Tank and Vaporizer Mobilization from our base to hospital.</t>
  </si>
  <si>
    <t>One Time</t>
  </si>
  <si>
    <t>Minimum Agreement Tenure</t>
  </si>
  <si>
    <t>Years</t>
  </si>
  <si>
    <t xml:space="preserve">Agreement Lock in period </t>
  </si>
  <si>
    <t xml:space="preserve">Complete Civil work </t>
  </si>
  <si>
    <t>Hospital Scope</t>
  </si>
  <si>
    <t>One time</t>
  </si>
  <si>
    <t>5 Years</t>
  </si>
  <si>
    <t>UOM</t>
  </si>
  <si>
    <t>Qty</t>
  </si>
  <si>
    <t>Inox Air Products</t>
  </si>
  <si>
    <t>7 Years</t>
  </si>
  <si>
    <t>Nos</t>
  </si>
  <si>
    <t>Wilson</t>
  </si>
  <si>
    <t>Shakti Gases</t>
  </si>
  <si>
    <t>Linde</t>
  </si>
  <si>
    <t>Akash</t>
  </si>
  <si>
    <t>Anil (NSM)</t>
  </si>
  <si>
    <t>Price Escalation</t>
  </si>
  <si>
    <t>Mode of Delivery</t>
  </si>
  <si>
    <t>Weighment Basis</t>
  </si>
  <si>
    <t xml:space="preserve">Delivery Time &amp; Completion </t>
  </si>
  <si>
    <t>Tank Capacity &amp; Location</t>
  </si>
  <si>
    <t>20 KL, LUDHIANA (400km)</t>
  </si>
  <si>
    <t>Hardeep Singh</t>
  </si>
  <si>
    <t>Abhishek Dixit</t>
  </si>
  <si>
    <t>20 KL (GUJRAT)</t>
  </si>
  <si>
    <t>Automatic Alarm System (O &amp; ED)</t>
  </si>
  <si>
    <t>Telemetry</t>
  </si>
  <si>
    <t>Minimum Expected Volume</t>
  </si>
  <si>
    <t>8000M3</t>
  </si>
  <si>
    <t>Monthly</t>
  </si>
  <si>
    <t>Payment Terms (for Medical Gases)</t>
  </si>
  <si>
    <t>Payment Terms (for SITC)</t>
  </si>
  <si>
    <t>On Actual</t>
  </si>
  <si>
    <t>14 to 16 weeks</t>
  </si>
  <si>
    <t>Utkarsh</t>
  </si>
  <si>
    <t>12000M3</t>
  </si>
  <si>
    <t>6000M3</t>
  </si>
  <si>
    <t>Included</t>
  </si>
  <si>
    <t>10 Years</t>
  </si>
  <si>
    <t>6 Years</t>
  </si>
  <si>
    <t>Air Liquide</t>
  </si>
  <si>
    <t>Negotiated Price (INR)</t>
  </si>
  <si>
    <t>Basic Price for LMO (Monthly)</t>
  </si>
  <si>
    <t>Delivery/Transportation Charges (Monthly)</t>
  </si>
  <si>
    <t>100% After Completion</t>
  </si>
  <si>
    <t>40000M3</t>
  </si>
  <si>
    <t>100% Advance</t>
  </si>
  <si>
    <t>Within 30 days</t>
  </si>
  <si>
    <t>6% Y on Y Or Formula Based, whichever is lesser</t>
  </si>
  <si>
    <t>Formula Based</t>
  </si>
  <si>
    <t xml:space="preserve"> 8 Weeks  to 10 Weeks</t>
  </si>
  <si>
    <t>NIL</t>
  </si>
  <si>
    <t>Technical Rating</t>
  </si>
  <si>
    <t>Commercial Rating</t>
  </si>
  <si>
    <t>8 Weeks to 10 Weeks</t>
  </si>
  <si>
    <t>2nd (26 May 2026)</t>
  </si>
  <si>
    <t>Anirudh Narayan Saxena</t>
  </si>
  <si>
    <t xml:space="preserve"> 8 Weeks  to 12 Weeks</t>
  </si>
  <si>
    <t>13 KL + 06 KL (BHIWADI)</t>
  </si>
  <si>
    <t>Vendor 6</t>
  </si>
  <si>
    <t>Fixed for 2 Years &amp; upto 5% YOY (after Mutally agreed)</t>
  </si>
  <si>
    <t>SM3</t>
  </si>
  <si>
    <t>GST - Item 1 &amp; 2 - 5% &amp; Item no. 3 - 18%</t>
  </si>
  <si>
    <t xml:space="preserve">GST Extra  </t>
  </si>
  <si>
    <t>L-</t>
  </si>
  <si>
    <t>T-</t>
  </si>
  <si>
    <t>13KL + 06KL (Jhajjar Haryana)</t>
  </si>
  <si>
    <t>20KL + 06KL (Mathura)</t>
  </si>
  <si>
    <t>12 weeks to 16 Weeks</t>
  </si>
  <si>
    <t>Crane to be hired by Client</t>
  </si>
  <si>
    <t>5 % Y on Y Or Formula Based, whichever is lesser</t>
  </si>
  <si>
    <t>13KL + 06 KL (Jaipur)</t>
  </si>
  <si>
    <t>He is a Dealer, Not have Manufacturing Unit</t>
  </si>
  <si>
    <t>8 to 12 Weeks</t>
  </si>
  <si>
    <t>PESO License work Fee (Govt.) for 5 years</t>
  </si>
  <si>
    <t>PESO License work Fee (Vendor)</t>
  </si>
  <si>
    <t>Fixed for 2 years, 5% Y on Y Or Formula Based, whichever is lesser</t>
  </si>
  <si>
    <t>Fixed Facility Charges for 13 KL</t>
  </si>
  <si>
    <t>Prepared by</t>
  </si>
  <si>
    <t xml:space="preserve">General Manager - Supply Chain </t>
  </si>
  <si>
    <t>Chief Executive Officer</t>
  </si>
  <si>
    <t>Technical User/Head</t>
  </si>
  <si>
    <t>VAYU Products</t>
  </si>
  <si>
    <t>Comparative Statement of LMO (Liquid Medical Oxygen) Plant at JECRC Hospital</t>
  </si>
  <si>
    <t>13KL+ 06 KL</t>
  </si>
  <si>
    <t>Negotiated Price (INR) 19th May 2026</t>
  </si>
  <si>
    <t>3rd Meetings (2nd July 2026)</t>
  </si>
  <si>
    <t xml:space="preserve">will review after 2 years 6 months </t>
  </si>
  <si>
    <t>Sr. Medical Advisor</t>
  </si>
  <si>
    <t>L-1</t>
  </si>
  <si>
    <t>will review after 2 years 6 months (NO MG)</t>
  </si>
  <si>
    <t xml:space="preserve">Fixed Facility Charges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</si>
</sst>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 * #,##0_ ;_ * \-#,##0_ ;_ * &quot;-&quot;_ ;_ @_ "/>
    <numFmt numFmtId="165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D0D0D"/>
      <name val="Calibri"/>
      <family val="2"/>
    </font>
    <font>
      <sz val="9"/>
      <color rgb="FF0D0D0D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D0D0D"/>
      <name val="Calibri"/>
      <family val="2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4" borderId="1" xfId="0" applyFont="1" applyFill="1" applyBorder="1" applyAlignment="1">
      <alignment horizontal="right"/>
    </xf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/>
    <xf numFmtId="164" fontId="6" fillId="0" borderId="0" xfId="0" applyNumberFormat="1" applyFont="1"/>
    <xf numFmtId="16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/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165" fontId="4" fillId="7" borderId="1" xfId="0" applyNumberFormat="1" applyFont="1" applyFill="1" applyBorder="1"/>
    <xf numFmtId="164" fontId="2" fillId="8" borderId="1" xfId="0" applyNumberFormat="1" applyFont="1" applyFill="1" applyBorder="1" applyAlignment="1">
      <alignment horizontal="center" vertical="center" wrapText="1"/>
    </xf>
    <xf numFmtId="164" fontId="1" fillId="8" borderId="0" xfId="0" applyNumberFormat="1" applyFont="1" applyFill="1" applyAlignment="1">
      <alignment horizontal="center" vertical="center" wrapText="1"/>
    </xf>
    <xf numFmtId="164" fontId="2" fillId="8" borderId="0" xfId="0" applyNumberFormat="1" applyFont="1" applyFill="1" applyAlignment="1">
      <alignment horizontal="center" vertical="center" wrapText="1"/>
    </xf>
    <xf numFmtId="164" fontId="2" fillId="8" borderId="0" xfId="0" applyNumberFormat="1" applyFont="1" applyFill="1"/>
    <xf numFmtId="164" fontId="1" fillId="8" borderId="0" xfId="0" applyNumberFormat="1" applyFont="1" applyFill="1"/>
    <xf numFmtId="0" fontId="1" fillId="8" borderId="0" xfId="0" applyFont="1" applyFill="1"/>
    <xf numFmtId="0" fontId="2" fillId="8" borderId="0" xfId="0" applyFont="1" applyFill="1"/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wrapText="1"/>
    </xf>
    <xf numFmtId="41" fontId="1" fillId="8" borderId="0" xfId="0" applyNumberFormat="1" applyFont="1" applyFill="1" applyAlignment="1">
      <alignment horizontal="center" vertical="center" wrapText="1"/>
    </xf>
    <xf numFmtId="41" fontId="1" fillId="0" borderId="0" xfId="0" applyNumberFormat="1" applyFont="1" applyAlignment="1">
      <alignment horizontal="center" vertical="center"/>
    </xf>
    <xf numFmtId="9" fontId="1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right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7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164" fontId="2" fillId="0" borderId="0" xfId="0" applyNumberFormat="1" applyFont="1" applyAlignment="1">
      <alignment horizontal="center" vertical="center" wrapText="1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64" fontId="2" fillId="8" borderId="11" xfId="0" applyNumberFormat="1" applyFont="1" applyFill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164" fontId="2" fillId="8" borderId="13" xfId="0" applyNumberFormat="1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center" vertical="center" wrapText="1"/>
    </xf>
    <xf numFmtId="165" fontId="4" fillId="0" borderId="15" xfId="0" applyNumberFormat="1" applyFont="1" applyBorder="1"/>
    <xf numFmtId="164" fontId="2" fillId="0" borderId="15" xfId="0" applyNumberFormat="1" applyFont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 vertical="center" wrapText="1"/>
    </xf>
    <xf numFmtId="165" fontId="2" fillId="0" borderId="11" xfId="0" applyNumberFormat="1" applyFont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justify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165" fontId="4" fillId="5" borderId="13" xfId="0" applyNumberFormat="1" applyFont="1" applyFill="1" applyBorder="1"/>
    <xf numFmtId="164" fontId="2" fillId="5" borderId="13" xfId="0" applyNumberFormat="1" applyFont="1" applyFill="1" applyBorder="1" applyAlignment="1">
      <alignment horizontal="center" vertical="center" wrapText="1"/>
    </xf>
    <xf numFmtId="165" fontId="2" fillId="5" borderId="13" xfId="0" applyNumberFormat="1" applyFont="1" applyFill="1" applyBorder="1" applyAlignment="1">
      <alignment horizontal="center" vertical="center" wrapText="1"/>
    </xf>
    <xf numFmtId="165" fontId="2" fillId="5" borderId="14" xfId="0" applyNumberFormat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5" fontId="4" fillId="0" borderId="5" xfId="0" applyNumberFormat="1" applyFont="1" applyBorder="1"/>
    <xf numFmtId="164" fontId="2" fillId="0" borderId="5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165" fontId="2" fillId="8" borderId="5" xfId="0" applyNumberFormat="1" applyFont="1" applyFill="1" applyBorder="1" applyAlignment="1">
      <alignment horizontal="center" vertical="center" wrapText="1"/>
    </xf>
    <xf numFmtId="165" fontId="2" fillId="8" borderId="17" xfId="0" applyNumberFormat="1" applyFont="1" applyFill="1" applyBorder="1" applyAlignment="1">
      <alignment horizontal="center" vertical="center" wrapText="1"/>
    </xf>
    <xf numFmtId="41" fontId="1" fillId="6" borderId="7" xfId="0" applyNumberFormat="1" applyFont="1" applyFill="1" applyBorder="1" applyAlignment="1">
      <alignment horizontal="center" vertical="center" wrapText="1"/>
    </xf>
    <xf numFmtId="41" fontId="8" fillId="6" borderId="8" xfId="0" applyNumberFormat="1" applyFont="1" applyFill="1" applyBorder="1" applyAlignment="1">
      <alignment horizontal="justify" vertical="center" wrapText="1"/>
    </xf>
    <xf numFmtId="41" fontId="8" fillId="6" borderId="8" xfId="0" applyNumberFormat="1" applyFont="1" applyFill="1" applyBorder="1" applyAlignment="1">
      <alignment horizontal="center" vertical="center" wrapText="1"/>
    </xf>
    <xf numFmtId="41" fontId="1" fillId="6" borderId="8" xfId="0" applyNumberFormat="1" applyFont="1" applyFill="1" applyBorder="1" applyAlignment="1">
      <alignment horizontal="center" vertical="center" wrapText="1"/>
    </xf>
    <xf numFmtId="41" fontId="1" fillId="9" borderId="8" xfId="0" applyNumberFormat="1" applyFont="1" applyFill="1" applyBorder="1" applyAlignment="1">
      <alignment horizontal="center" vertical="center" wrapText="1"/>
    </xf>
    <xf numFmtId="41" fontId="1" fillId="9" borderId="9" xfId="0" applyNumberFormat="1" applyFont="1" applyFill="1" applyBorder="1" applyAlignment="1">
      <alignment horizontal="center" vertical="center" wrapText="1"/>
    </xf>
    <xf numFmtId="0" fontId="2" fillId="0" borderId="18" xfId="0" applyFont="1" applyBorder="1"/>
    <xf numFmtId="0" fontId="1" fillId="4" borderId="10" xfId="0" applyFont="1" applyFill="1" applyBorder="1"/>
    <xf numFmtId="0" fontId="2" fillId="0" borderId="10" xfId="0" applyFont="1" applyBorder="1"/>
    <xf numFmtId="0" fontId="2" fillId="0" borderId="12" xfId="0" applyFont="1" applyBorder="1"/>
    <xf numFmtId="0" fontId="1" fillId="0" borderId="13" xfId="0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2" fillId="0" borderId="13" xfId="0" applyFont="1" applyBorder="1"/>
    <xf numFmtId="0" fontId="2" fillId="0" borderId="23" xfId="0" applyFont="1" applyBorder="1"/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164" fontId="2" fillId="0" borderId="15" xfId="0" applyNumberFormat="1" applyFont="1" applyBorder="1"/>
    <xf numFmtId="0" fontId="2" fillId="8" borderId="15" xfId="0" applyFont="1" applyFill="1" applyBorder="1"/>
    <xf numFmtId="0" fontId="2" fillId="8" borderId="24" xfId="0" applyFont="1" applyFill="1" applyBorder="1" applyAlignment="1">
      <alignment horizontal="center"/>
    </xf>
    <xf numFmtId="0" fontId="5" fillId="0" borderId="6" xfId="0" applyFont="1" applyBorder="1" applyAlignment="1">
      <alignment horizontal="right" wrapText="1"/>
    </xf>
    <xf numFmtId="0" fontId="1" fillId="4" borderId="7" xfId="0" applyFont="1" applyFill="1" applyBorder="1"/>
    <xf numFmtId="0" fontId="1" fillId="4" borderId="8" xfId="0" applyFont="1" applyFill="1" applyBorder="1" applyAlignment="1">
      <alignment horizontal="right"/>
    </xf>
    <xf numFmtId="0" fontId="1" fillId="4" borderId="8" xfId="0" applyFont="1" applyFill="1" applyBorder="1" applyAlignment="1">
      <alignment horizontal="center"/>
    </xf>
    <xf numFmtId="0" fontId="1" fillId="4" borderId="12" xfId="0" applyFont="1" applyFill="1" applyBorder="1"/>
    <xf numFmtId="0" fontId="1" fillId="4" borderId="13" xfId="0" applyFont="1" applyFill="1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1" fillId="3" borderId="7" xfId="0" applyFont="1" applyFill="1" applyBorder="1"/>
    <xf numFmtId="0" fontId="1" fillId="3" borderId="8" xfId="0" applyFont="1" applyFill="1" applyBorder="1"/>
    <xf numFmtId="0" fontId="1" fillId="3" borderId="8" xfId="0" applyFont="1" applyFill="1" applyBorder="1" applyAlignment="1">
      <alignment horizontal="center"/>
    </xf>
    <xf numFmtId="0" fontId="2" fillId="3" borderId="10" xfId="0" applyFont="1" applyFill="1" applyBorder="1"/>
    <xf numFmtId="0" fontId="1" fillId="0" borderId="23" xfId="0" applyFont="1" applyBorder="1" applyAlignment="1">
      <alignment horizontal="center" vertical="center" wrapText="1"/>
    </xf>
    <xf numFmtId="165" fontId="2" fillId="0" borderId="24" xfId="0" applyNumberFormat="1" applyFont="1" applyBorder="1" applyAlignment="1">
      <alignment horizontal="center" vertical="center" wrapText="1"/>
    </xf>
    <xf numFmtId="41" fontId="1" fillId="4" borderId="8" xfId="0" applyNumberFormat="1" applyFont="1" applyFill="1" applyBorder="1"/>
    <xf numFmtId="41" fontId="1" fillId="4" borderId="9" xfId="0" applyNumberFormat="1" applyFont="1" applyFill="1" applyBorder="1"/>
    <xf numFmtId="41" fontId="1" fillId="4" borderId="1" xfId="0" applyNumberFormat="1" applyFont="1" applyFill="1" applyBorder="1"/>
    <xf numFmtId="41" fontId="1" fillId="4" borderId="11" xfId="0" applyNumberFormat="1" applyFont="1" applyFill="1" applyBorder="1"/>
    <xf numFmtId="41" fontId="1" fillId="4" borderId="13" xfId="0" applyNumberFormat="1" applyFont="1" applyFill="1" applyBorder="1"/>
    <xf numFmtId="41" fontId="1" fillId="4" borderId="14" xfId="0" applyNumberFormat="1" applyFont="1" applyFill="1" applyBorder="1"/>
    <xf numFmtId="164" fontId="10" fillId="0" borderId="8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5" fontId="10" fillId="0" borderId="5" xfId="0" applyNumberFormat="1" applyFont="1" applyBorder="1" applyAlignment="1">
      <alignment horizontal="center" vertical="center" wrapText="1"/>
    </xf>
    <xf numFmtId="164" fontId="10" fillId="0" borderId="5" xfId="0" applyNumberFormat="1" applyFont="1" applyBorder="1" applyAlignment="1">
      <alignment horizontal="center" vertical="center" wrapText="1"/>
    </xf>
    <xf numFmtId="41" fontId="9" fillId="6" borderId="8" xfId="0" applyNumberFormat="1" applyFont="1" applyFill="1" applyBorder="1" applyAlignment="1">
      <alignment horizontal="center" vertical="center" wrapText="1"/>
    </xf>
    <xf numFmtId="165" fontId="10" fillId="5" borderId="13" xfId="0" applyNumberFormat="1" applyFont="1" applyFill="1" applyBorder="1" applyAlignment="1">
      <alignment horizontal="center" vertical="center" wrapText="1"/>
    </xf>
    <xf numFmtId="164" fontId="10" fillId="5" borderId="13" xfId="0" applyNumberFormat="1" applyFont="1" applyFill="1" applyBorder="1" applyAlignment="1">
      <alignment horizontal="center" vertical="center" wrapText="1"/>
    </xf>
    <xf numFmtId="165" fontId="10" fillId="0" borderId="15" xfId="0" applyNumberFormat="1" applyFont="1" applyBorder="1" applyAlignment="1">
      <alignment horizontal="center" vertical="center" wrapText="1"/>
    </xf>
    <xf numFmtId="164" fontId="10" fillId="0" borderId="15" xfId="0" applyNumberFormat="1" applyFont="1" applyBorder="1" applyAlignment="1">
      <alignment horizontal="center" vertical="center" wrapText="1"/>
    </xf>
    <xf numFmtId="164" fontId="10" fillId="0" borderId="13" xfId="0" applyNumberFormat="1" applyFont="1" applyBorder="1" applyAlignment="1">
      <alignment horizontal="center" vertical="center" wrapText="1"/>
    </xf>
    <xf numFmtId="0" fontId="10" fillId="0" borderId="15" xfId="0" applyFont="1" applyBorder="1"/>
    <xf numFmtId="164" fontId="10" fillId="0" borderId="15" xfId="0" applyNumberFormat="1" applyFont="1" applyBorder="1"/>
    <xf numFmtId="41" fontId="9" fillId="4" borderId="8" xfId="0" applyNumberFormat="1" applyFont="1" applyFill="1" applyBorder="1"/>
    <xf numFmtId="41" fontId="9" fillId="4" borderId="1" xfId="0" applyNumberFormat="1" applyFont="1" applyFill="1" applyBorder="1"/>
    <xf numFmtId="41" fontId="9" fillId="4" borderId="13" xfId="0" applyNumberFormat="1" applyFont="1" applyFill="1" applyBorder="1"/>
    <xf numFmtId="0" fontId="1" fillId="0" borderId="1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5" fontId="4" fillId="0" borderId="6" xfId="0" applyNumberFormat="1" applyFont="1" applyBorder="1"/>
    <xf numFmtId="165" fontId="4" fillId="7" borderId="6" xfId="0" applyNumberFormat="1" applyFont="1" applyFill="1" applyBorder="1"/>
    <xf numFmtId="164" fontId="2" fillId="0" borderId="6" xfId="0" applyNumberFormat="1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165" fontId="10" fillId="0" borderId="6" xfId="0" applyNumberFormat="1" applyFont="1" applyBorder="1" applyAlignment="1">
      <alignment horizontal="center" vertical="center" wrapText="1"/>
    </xf>
    <xf numFmtId="164" fontId="10" fillId="0" borderId="6" xfId="0" applyNumberFormat="1" applyFont="1" applyBorder="1" applyAlignment="1">
      <alignment horizontal="center" vertical="center" wrapText="1"/>
    </xf>
    <xf numFmtId="41" fontId="2" fillId="0" borderId="19" xfId="0" applyNumberFormat="1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64" fontId="1" fillId="2" borderId="13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164" fontId="1" fillId="2" borderId="14" xfId="0" applyNumberFormat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304D-49A3-430D-AD92-933E15FC36AE}">
  <sheetPr>
    <pageSetUpPr fitToPage="1"/>
  </sheetPr>
  <dimension ref="A2:AD58"/>
  <sheetViews>
    <sheetView showGridLines="0" tabSelected="1" zoomScaleNormal="100" workbookViewId="0">
      <selection activeCell="I10" sqref="I10"/>
    </sheetView>
  </sheetViews>
  <sheetFormatPr defaultRowHeight="12" x14ac:dyDescent="0.2"/>
  <cols>
    <col min="1" max="1" width="4.42578125" style="2" bestFit="1" customWidth="1"/>
    <col min="2" max="2" width="34.7109375" style="2" customWidth="1"/>
    <col min="3" max="3" width="13.85546875" style="6" customWidth="1"/>
    <col min="4" max="4" width="7.85546875" style="2" customWidth="1"/>
    <col min="5" max="5" width="12" style="2" customWidth="1"/>
    <col min="6" max="8" width="8.5703125" style="2" customWidth="1"/>
    <col min="9" max="9" width="10.28515625" style="2" customWidth="1"/>
    <col min="10" max="10" width="10.5703125" style="2" customWidth="1"/>
    <col min="11" max="11" width="8.5703125" style="2" customWidth="1"/>
    <col min="12" max="12" width="10.5703125" style="18" customWidth="1"/>
    <col min="13" max="13" width="10.5703125" style="2" customWidth="1"/>
    <col min="14" max="14" width="8.5703125" style="2" customWidth="1"/>
    <col min="15" max="15" width="10.5703125" style="18" customWidth="1"/>
    <col min="16" max="16" width="10.5703125" style="2" customWidth="1"/>
    <col min="17" max="17" width="8.5703125" style="2" customWidth="1"/>
    <col min="18" max="18" width="10.5703125" style="18" customWidth="1"/>
    <col min="19" max="19" width="10.5703125" style="2" customWidth="1"/>
    <col min="20" max="21" width="8.5703125" style="2" customWidth="1"/>
    <col min="22" max="22" width="10.5703125" style="18" customWidth="1"/>
    <col min="23" max="24" width="13.140625" style="2" bestFit="1" customWidth="1"/>
    <col min="25" max="25" width="10.7109375" style="2" bestFit="1" customWidth="1"/>
    <col min="26" max="16384" width="9.140625" style="2"/>
  </cols>
  <sheetData>
    <row r="2" spans="1:30" s="11" customFormat="1" ht="21.75" thickBot="1" x14ac:dyDescent="0.4">
      <c r="A2" s="12"/>
      <c r="C2" s="13" t="s">
        <v>102</v>
      </c>
      <c r="L2" s="17"/>
      <c r="O2" s="17"/>
      <c r="R2" s="17"/>
      <c r="V2" s="17"/>
    </row>
    <row r="3" spans="1:30" s="1" customFormat="1" x14ac:dyDescent="0.2">
      <c r="A3" s="118"/>
      <c r="B3" s="119"/>
      <c r="C3" s="120"/>
      <c r="D3" s="119"/>
      <c r="E3" s="163" t="s">
        <v>0</v>
      </c>
      <c r="F3" s="163"/>
      <c r="G3" s="163"/>
      <c r="H3" s="163"/>
      <c r="I3" s="163"/>
      <c r="J3" s="163" t="s">
        <v>1</v>
      </c>
      <c r="K3" s="163"/>
      <c r="L3" s="163"/>
      <c r="M3" s="165" t="s">
        <v>2</v>
      </c>
      <c r="N3" s="165"/>
      <c r="O3" s="165"/>
      <c r="P3" s="163" t="s">
        <v>3</v>
      </c>
      <c r="Q3" s="163"/>
      <c r="R3" s="163"/>
      <c r="S3" s="163" t="s">
        <v>4</v>
      </c>
      <c r="T3" s="163"/>
      <c r="U3" s="163"/>
      <c r="V3" s="163"/>
      <c r="W3" s="163" t="s">
        <v>78</v>
      </c>
      <c r="X3" s="163"/>
      <c r="Y3" s="164"/>
      <c r="Z3" s="34"/>
    </row>
    <row r="4" spans="1:30" x14ac:dyDescent="0.2">
      <c r="A4" s="121"/>
      <c r="B4" s="8" t="s">
        <v>9</v>
      </c>
      <c r="C4" s="5"/>
      <c r="D4" s="4"/>
      <c r="E4" s="166" t="s">
        <v>27</v>
      </c>
      <c r="F4" s="166"/>
      <c r="G4" s="166"/>
      <c r="H4" s="166"/>
      <c r="I4" s="166"/>
      <c r="J4" s="166" t="s">
        <v>32</v>
      </c>
      <c r="K4" s="166"/>
      <c r="L4" s="166"/>
      <c r="M4" s="168" t="s">
        <v>30</v>
      </c>
      <c r="N4" s="168"/>
      <c r="O4" s="168"/>
      <c r="P4" s="166" t="s">
        <v>31</v>
      </c>
      <c r="Q4" s="166"/>
      <c r="R4" s="166"/>
      <c r="S4" s="166" t="s">
        <v>59</v>
      </c>
      <c r="T4" s="166"/>
      <c r="U4" s="166"/>
      <c r="V4" s="166"/>
      <c r="W4" s="166" t="s">
        <v>101</v>
      </c>
      <c r="X4" s="166"/>
      <c r="Y4" s="167"/>
      <c r="Z4" s="35"/>
    </row>
    <row r="5" spans="1:30" x14ac:dyDescent="0.2">
      <c r="A5" s="121"/>
      <c r="B5" s="8" t="s">
        <v>11</v>
      </c>
      <c r="C5" s="5"/>
      <c r="D5" s="4"/>
      <c r="E5" s="166" t="s">
        <v>33</v>
      </c>
      <c r="F5" s="166"/>
      <c r="G5" s="166"/>
      <c r="H5" s="166"/>
      <c r="I5" s="166"/>
      <c r="J5" s="166" t="s">
        <v>41</v>
      </c>
      <c r="K5" s="166"/>
      <c r="L5" s="166"/>
      <c r="M5" s="168" t="s">
        <v>53</v>
      </c>
      <c r="N5" s="168"/>
      <c r="O5" s="168"/>
      <c r="P5" s="166" t="s">
        <v>42</v>
      </c>
      <c r="Q5" s="166"/>
      <c r="R5" s="166"/>
      <c r="S5" s="166" t="s">
        <v>34</v>
      </c>
      <c r="T5" s="166"/>
      <c r="U5" s="166"/>
      <c r="V5" s="166"/>
      <c r="W5" s="166" t="s">
        <v>75</v>
      </c>
      <c r="X5" s="166"/>
      <c r="Y5" s="167"/>
      <c r="Z5" s="35"/>
    </row>
    <row r="6" spans="1:30" x14ac:dyDescent="0.2">
      <c r="A6" s="121"/>
      <c r="B6" s="8" t="s">
        <v>10</v>
      </c>
      <c r="C6" s="5"/>
      <c r="D6" s="4"/>
      <c r="E6" s="166">
        <v>9999596836</v>
      </c>
      <c r="F6" s="166"/>
      <c r="G6" s="166"/>
      <c r="H6" s="166"/>
      <c r="I6" s="166"/>
      <c r="J6" s="166">
        <v>9878219520</v>
      </c>
      <c r="K6" s="166"/>
      <c r="L6" s="166"/>
      <c r="M6" s="168">
        <v>8385058000</v>
      </c>
      <c r="N6" s="168"/>
      <c r="O6" s="168"/>
      <c r="P6" s="166">
        <v>7977245039</v>
      </c>
      <c r="Q6" s="166"/>
      <c r="R6" s="166"/>
      <c r="S6" s="166">
        <v>9619037745</v>
      </c>
      <c r="T6" s="166"/>
      <c r="U6" s="166"/>
      <c r="V6" s="166"/>
      <c r="W6" s="166">
        <v>6280936392</v>
      </c>
      <c r="X6" s="166"/>
      <c r="Y6" s="167"/>
      <c r="Z6" s="35"/>
    </row>
    <row r="7" spans="1:30" x14ac:dyDescent="0.2">
      <c r="A7" s="121"/>
      <c r="B7" s="8" t="s">
        <v>39</v>
      </c>
      <c r="C7" s="5"/>
      <c r="D7" s="4"/>
      <c r="E7" s="166" t="s">
        <v>77</v>
      </c>
      <c r="F7" s="166"/>
      <c r="G7" s="166"/>
      <c r="H7" s="166"/>
      <c r="I7" s="166"/>
      <c r="J7" s="166" t="s">
        <v>40</v>
      </c>
      <c r="K7" s="166"/>
      <c r="L7" s="166"/>
      <c r="M7" s="168" t="s">
        <v>90</v>
      </c>
      <c r="N7" s="168"/>
      <c r="O7" s="168"/>
      <c r="P7" s="166" t="s">
        <v>43</v>
      </c>
      <c r="Q7" s="166"/>
      <c r="R7" s="166"/>
      <c r="S7" s="166" t="s">
        <v>86</v>
      </c>
      <c r="T7" s="166"/>
      <c r="U7" s="166"/>
      <c r="V7" s="166"/>
      <c r="W7" s="166" t="s">
        <v>85</v>
      </c>
      <c r="X7" s="166"/>
      <c r="Y7" s="167"/>
      <c r="Z7" s="35"/>
    </row>
    <row r="8" spans="1:30" s="14" customFormat="1" ht="48.75" thickBot="1" x14ac:dyDescent="0.3">
      <c r="A8" s="157" t="s">
        <v>7</v>
      </c>
      <c r="B8" s="158" t="s">
        <v>8</v>
      </c>
      <c r="C8" s="158" t="s">
        <v>25</v>
      </c>
      <c r="D8" s="158" t="s">
        <v>26</v>
      </c>
      <c r="E8" s="158" t="s">
        <v>5</v>
      </c>
      <c r="F8" s="158" t="s">
        <v>104</v>
      </c>
      <c r="G8" s="158" t="s">
        <v>74</v>
      </c>
      <c r="H8" s="158" t="s">
        <v>105</v>
      </c>
      <c r="I8" s="158" t="s">
        <v>6</v>
      </c>
      <c r="J8" s="158" t="s">
        <v>5</v>
      </c>
      <c r="K8" s="158" t="s">
        <v>60</v>
      </c>
      <c r="L8" s="159" t="s">
        <v>6</v>
      </c>
      <c r="M8" s="160" t="s">
        <v>5</v>
      </c>
      <c r="N8" s="160" t="s">
        <v>60</v>
      </c>
      <c r="O8" s="161" t="s">
        <v>6</v>
      </c>
      <c r="P8" s="158" t="s">
        <v>5</v>
      </c>
      <c r="Q8" s="158" t="s">
        <v>60</v>
      </c>
      <c r="R8" s="159" t="s">
        <v>6</v>
      </c>
      <c r="S8" s="158" t="s">
        <v>5</v>
      </c>
      <c r="T8" s="158" t="s">
        <v>60</v>
      </c>
      <c r="U8" s="158" t="s">
        <v>74</v>
      </c>
      <c r="V8" s="159" t="s">
        <v>6</v>
      </c>
      <c r="W8" s="158" t="s">
        <v>5</v>
      </c>
      <c r="X8" s="158" t="s">
        <v>60</v>
      </c>
      <c r="Y8" s="162" t="s">
        <v>6</v>
      </c>
      <c r="Z8" s="30"/>
    </row>
    <row r="9" spans="1:30" s="14" customFormat="1" x14ac:dyDescent="0.2">
      <c r="A9" s="146">
        <v>1</v>
      </c>
      <c r="B9" s="147" t="s">
        <v>61</v>
      </c>
      <c r="C9" s="148" t="s">
        <v>80</v>
      </c>
      <c r="D9" s="149">
        <v>13000</v>
      </c>
      <c r="E9" s="150">
        <v>11.8</v>
      </c>
      <c r="F9" s="150">
        <v>10.25</v>
      </c>
      <c r="G9" s="151">
        <v>10.25</v>
      </c>
      <c r="H9" s="151">
        <v>10.25</v>
      </c>
      <c r="I9" s="152">
        <f>D9*H9</f>
        <v>133250</v>
      </c>
      <c r="J9" s="153">
        <v>13.21</v>
      </c>
      <c r="K9" s="153">
        <v>13.21</v>
      </c>
      <c r="L9" s="152">
        <f>K9*D9</f>
        <v>171730</v>
      </c>
      <c r="M9" s="154">
        <v>16</v>
      </c>
      <c r="N9" s="154">
        <v>13</v>
      </c>
      <c r="O9" s="155">
        <f>N9*D9</f>
        <v>169000</v>
      </c>
      <c r="P9" s="153">
        <v>15.18</v>
      </c>
      <c r="Q9" s="153">
        <v>15.18</v>
      </c>
      <c r="R9" s="152">
        <f>Q9*D9</f>
        <v>197340</v>
      </c>
      <c r="S9" s="153">
        <v>14.35</v>
      </c>
      <c r="T9" s="153">
        <v>12</v>
      </c>
      <c r="U9" s="153">
        <v>11.3</v>
      </c>
      <c r="V9" s="152">
        <f>D9*U9</f>
        <v>146900</v>
      </c>
      <c r="W9" s="153">
        <v>14.93</v>
      </c>
      <c r="X9" s="153">
        <v>12</v>
      </c>
      <c r="Y9" s="156">
        <f>D9*X9</f>
        <v>156000</v>
      </c>
      <c r="Z9" s="31"/>
      <c r="AD9" s="3"/>
    </row>
    <row r="10" spans="1:30" s="14" customFormat="1" ht="24" x14ac:dyDescent="0.2">
      <c r="A10" s="57">
        <v>2</v>
      </c>
      <c r="B10" s="20" t="s">
        <v>62</v>
      </c>
      <c r="C10" s="21" t="s">
        <v>80</v>
      </c>
      <c r="D10" s="19">
        <v>13000</v>
      </c>
      <c r="E10" s="22">
        <v>2.89</v>
      </c>
      <c r="F10" s="22">
        <v>2.5</v>
      </c>
      <c r="G10" s="28">
        <v>1.75</v>
      </c>
      <c r="H10" s="28">
        <v>1.75</v>
      </c>
      <c r="I10" s="23">
        <f t="shared" ref="I10:I11" si="0">D10*H10</f>
        <v>22750</v>
      </c>
      <c r="J10" s="24">
        <v>5</v>
      </c>
      <c r="K10" s="24">
        <v>4.79</v>
      </c>
      <c r="L10" s="23">
        <f t="shared" ref="L10:L21" si="1">K10*D10</f>
        <v>62270</v>
      </c>
      <c r="M10" s="131" t="s">
        <v>56</v>
      </c>
      <c r="N10" s="131">
        <v>0</v>
      </c>
      <c r="O10" s="132">
        <f>N10*D10</f>
        <v>0</v>
      </c>
      <c r="P10" s="24">
        <v>4.5</v>
      </c>
      <c r="Q10" s="24">
        <v>4</v>
      </c>
      <c r="R10" s="23">
        <f>Q10*D10</f>
        <v>52000</v>
      </c>
      <c r="S10" s="24">
        <v>5.68</v>
      </c>
      <c r="T10" s="24">
        <v>1.2</v>
      </c>
      <c r="U10" s="24">
        <v>1</v>
      </c>
      <c r="V10" s="23">
        <f>D10*U10</f>
        <v>13000</v>
      </c>
      <c r="W10" s="24" t="s">
        <v>56</v>
      </c>
      <c r="X10" s="24"/>
      <c r="Y10" s="74"/>
      <c r="Z10" s="31"/>
      <c r="AD10" s="3"/>
    </row>
    <row r="11" spans="1:30" s="14" customFormat="1" x14ac:dyDescent="0.25">
      <c r="A11" s="57">
        <v>3</v>
      </c>
      <c r="B11" s="20" t="s">
        <v>110</v>
      </c>
      <c r="C11" s="21" t="s">
        <v>48</v>
      </c>
      <c r="D11" s="19">
        <v>12</v>
      </c>
      <c r="E11" s="23">
        <v>15000</v>
      </c>
      <c r="F11" s="23">
        <v>12500</v>
      </c>
      <c r="G11" s="27">
        <v>12000</v>
      </c>
      <c r="H11" s="27">
        <v>11000</v>
      </c>
      <c r="I11" s="23">
        <f t="shared" si="0"/>
        <v>132000</v>
      </c>
      <c r="J11" s="23">
        <v>25000</v>
      </c>
      <c r="K11" s="23">
        <v>24000</v>
      </c>
      <c r="L11" s="23">
        <f>K11*D11</f>
        <v>288000</v>
      </c>
      <c r="M11" s="132">
        <v>10000</v>
      </c>
      <c r="N11" s="132">
        <v>10000</v>
      </c>
      <c r="O11" s="132">
        <f>N11*D11</f>
        <v>120000</v>
      </c>
      <c r="P11" s="23">
        <v>32000</v>
      </c>
      <c r="Q11" s="23">
        <v>32000</v>
      </c>
      <c r="R11" s="23">
        <f>Q11*D11</f>
        <v>384000</v>
      </c>
      <c r="S11" s="23">
        <v>24000</v>
      </c>
      <c r="T11" s="23">
        <v>18000</v>
      </c>
      <c r="U11" s="23">
        <v>13000</v>
      </c>
      <c r="V11" s="23">
        <f>D11*U11</f>
        <v>156000</v>
      </c>
      <c r="W11" s="23">
        <v>30000</v>
      </c>
      <c r="X11" s="23">
        <v>29000</v>
      </c>
      <c r="Y11" s="59">
        <f>(D11*X11)</f>
        <v>348000</v>
      </c>
      <c r="Z11" s="31"/>
    </row>
    <row r="12" spans="1:30" s="14" customFormat="1" ht="12.75" thickBot="1" x14ac:dyDescent="0.25">
      <c r="A12" s="83"/>
      <c r="B12" s="84"/>
      <c r="C12" s="85"/>
      <c r="D12" s="86"/>
      <c r="E12" s="87"/>
      <c r="F12" s="87"/>
      <c r="G12" s="87"/>
      <c r="H12" s="87"/>
      <c r="I12" s="88"/>
      <c r="J12" s="89"/>
      <c r="K12" s="89"/>
      <c r="L12" s="88"/>
      <c r="M12" s="133"/>
      <c r="N12" s="133"/>
      <c r="O12" s="134"/>
      <c r="P12" s="89"/>
      <c r="Q12" s="89"/>
      <c r="R12" s="88"/>
      <c r="S12" s="89"/>
      <c r="T12" s="89"/>
      <c r="U12" s="89"/>
      <c r="V12" s="88"/>
      <c r="W12" s="90"/>
      <c r="X12" s="90"/>
      <c r="Y12" s="91"/>
      <c r="Z12" s="31"/>
    </row>
    <row r="13" spans="1:30" s="39" customFormat="1" x14ac:dyDescent="0.25">
      <c r="A13" s="92"/>
      <c r="B13" s="93" t="s">
        <v>12</v>
      </c>
      <c r="C13" s="94"/>
      <c r="D13" s="95"/>
      <c r="E13" s="95"/>
      <c r="F13" s="95"/>
      <c r="G13" s="95"/>
      <c r="H13" s="95"/>
      <c r="I13" s="95">
        <f>SUM(I9:I11)</f>
        <v>288000</v>
      </c>
      <c r="J13" s="95"/>
      <c r="K13" s="95"/>
      <c r="L13" s="95">
        <f>SUM(L9:L11)</f>
        <v>522000</v>
      </c>
      <c r="M13" s="135"/>
      <c r="N13" s="135"/>
      <c r="O13" s="135">
        <f>SUM(O9:O11)</f>
        <v>289000</v>
      </c>
      <c r="P13" s="95"/>
      <c r="Q13" s="95"/>
      <c r="R13" s="95">
        <f>SUM(R9:R11)</f>
        <v>633340</v>
      </c>
      <c r="S13" s="95"/>
      <c r="T13" s="95"/>
      <c r="U13" s="95"/>
      <c r="V13" s="95">
        <f>SUM(V9:V11)</f>
        <v>315900</v>
      </c>
      <c r="W13" s="96"/>
      <c r="X13" s="96"/>
      <c r="Y13" s="97">
        <f>SUM(Y9,Y11)</f>
        <v>504000</v>
      </c>
      <c r="Z13" s="38"/>
    </row>
    <row r="14" spans="1:30" s="14" customFormat="1" ht="12.75" thickBot="1" x14ac:dyDescent="0.25">
      <c r="A14" s="75"/>
      <c r="B14" s="76" t="s">
        <v>81</v>
      </c>
      <c r="C14" s="77"/>
      <c r="D14" s="78"/>
      <c r="E14" s="79"/>
      <c r="F14" s="79"/>
      <c r="G14" s="79"/>
      <c r="H14" s="79"/>
      <c r="I14" s="80"/>
      <c r="J14" s="81"/>
      <c r="K14" s="81"/>
      <c r="L14" s="80"/>
      <c r="M14" s="136"/>
      <c r="N14" s="136"/>
      <c r="O14" s="137"/>
      <c r="P14" s="81"/>
      <c r="Q14" s="81"/>
      <c r="R14" s="80"/>
      <c r="S14" s="81"/>
      <c r="T14" s="81"/>
      <c r="U14" s="81"/>
      <c r="V14" s="80"/>
      <c r="W14" s="81"/>
      <c r="X14" s="81"/>
      <c r="Y14" s="82"/>
      <c r="Z14" s="31"/>
    </row>
    <row r="15" spans="1:30" s="14" customFormat="1" ht="12.75" thickBot="1" x14ac:dyDescent="0.25">
      <c r="A15" s="122"/>
      <c r="B15" s="69"/>
      <c r="C15" s="70"/>
      <c r="D15" s="68"/>
      <c r="E15" s="71"/>
      <c r="F15" s="71"/>
      <c r="G15" s="71"/>
      <c r="H15" s="71"/>
      <c r="I15" s="72"/>
      <c r="J15" s="73"/>
      <c r="K15" s="73"/>
      <c r="L15" s="72"/>
      <c r="M15" s="138"/>
      <c r="N15" s="138"/>
      <c r="O15" s="139"/>
      <c r="P15" s="73"/>
      <c r="Q15" s="73"/>
      <c r="R15" s="72"/>
      <c r="S15" s="73"/>
      <c r="T15" s="73"/>
      <c r="U15" s="73"/>
      <c r="V15" s="72"/>
      <c r="W15" s="73"/>
      <c r="X15" s="73"/>
      <c r="Y15" s="123"/>
      <c r="Z15" s="48"/>
    </row>
    <row r="16" spans="1:30" s="14" customFormat="1" ht="24" x14ac:dyDescent="0.25">
      <c r="A16" s="51">
        <v>4</v>
      </c>
      <c r="B16" s="52" t="s">
        <v>14</v>
      </c>
      <c r="C16" s="53" t="s">
        <v>29</v>
      </c>
      <c r="D16" s="54">
        <v>1</v>
      </c>
      <c r="E16" s="55">
        <v>150000</v>
      </c>
      <c r="F16" s="55">
        <v>135000</v>
      </c>
      <c r="G16" s="55"/>
      <c r="H16" s="55">
        <v>135000</v>
      </c>
      <c r="I16" s="55">
        <f>H16*D16</f>
        <v>135000</v>
      </c>
      <c r="J16" s="55">
        <v>300000</v>
      </c>
      <c r="K16" s="55">
        <v>200000</v>
      </c>
      <c r="L16" s="55">
        <f t="shared" si="1"/>
        <v>200000</v>
      </c>
      <c r="M16" s="130">
        <v>75000</v>
      </c>
      <c r="N16" s="130">
        <v>75000</v>
      </c>
      <c r="O16" s="130">
        <f>N16*D16</f>
        <v>75000</v>
      </c>
      <c r="P16" s="55">
        <v>450000</v>
      </c>
      <c r="Q16" s="55">
        <v>350000</v>
      </c>
      <c r="R16" s="55">
        <f>Q16*D16</f>
        <v>350000</v>
      </c>
      <c r="S16" s="55">
        <v>150000</v>
      </c>
      <c r="T16" s="55">
        <v>150000</v>
      </c>
      <c r="U16" s="55">
        <v>150000</v>
      </c>
      <c r="V16" s="55">
        <f>T16*D16</f>
        <v>150000</v>
      </c>
      <c r="W16" s="55">
        <v>150000</v>
      </c>
      <c r="X16" s="55">
        <v>100000</v>
      </c>
      <c r="Y16" s="56">
        <f>(X16*D16)</f>
        <v>100000</v>
      </c>
      <c r="Z16" s="31"/>
    </row>
    <row r="17" spans="1:27" s="14" customFormat="1" ht="24" x14ac:dyDescent="0.25">
      <c r="A17" s="57">
        <v>5</v>
      </c>
      <c r="B17" s="26" t="s">
        <v>16</v>
      </c>
      <c r="C17" s="21" t="s">
        <v>17</v>
      </c>
      <c r="D17" s="19">
        <v>1</v>
      </c>
      <c r="E17" s="23" t="s">
        <v>56</v>
      </c>
      <c r="F17" s="23"/>
      <c r="G17" s="23"/>
      <c r="H17" s="23" t="s">
        <v>56</v>
      </c>
      <c r="I17" s="23"/>
      <c r="J17" s="23"/>
      <c r="K17" s="23"/>
      <c r="L17" s="23">
        <f t="shared" si="1"/>
        <v>0</v>
      </c>
      <c r="M17" s="132" t="s">
        <v>56</v>
      </c>
      <c r="N17" s="132"/>
      <c r="O17" s="132">
        <f>N17*D17</f>
        <v>0</v>
      </c>
      <c r="P17" s="23" t="s">
        <v>56</v>
      </c>
      <c r="Q17" s="23"/>
      <c r="R17" s="23">
        <f>Q17*D17</f>
        <v>0</v>
      </c>
      <c r="S17" s="23" t="s">
        <v>56</v>
      </c>
      <c r="T17" s="169" t="s">
        <v>88</v>
      </c>
      <c r="U17" s="170"/>
      <c r="V17" s="23">
        <v>0</v>
      </c>
      <c r="W17" s="29" t="s">
        <v>56</v>
      </c>
      <c r="X17" s="29"/>
      <c r="Y17" s="58" t="s">
        <v>15</v>
      </c>
      <c r="Z17" s="31"/>
    </row>
    <row r="18" spans="1:27" s="14" customFormat="1" ht="30" customHeight="1" x14ac:dyDescent="0.25">
      <c r="A18" s="57">
        <v>6</v>
      </c>
      <c r="B18" s="20" t="s">
        <v>93</v>
      </c>
      <c r="C18" s="21" t="s">
        <v>23</v>
      </c>
      <c r="D18" s="19" t="s">
        <v>103</v>
      </c>
      <c r="E18" s="23">
        <v>200000</v>
      </c>
      <c r="F18" s="23">
        <v>200000</v>
      </c>
      <c r="G18" s="23">
        <v>200000</v>
      </c>
      <c r="H18" s="23">
        <v>200000</v>
      </c>
      <c r="I18" s="23">
        <v>200000</v>
      </c>
      <c r="J18" s="23">
        <v>212500</v>
      </c>
      <c r="K18" s="23">
        <v>212500</v>
      </c>
      <c r="L18" s="23">
        <v>212500</v>
      </c>
      <c r="M18" s="132">
        <v>200000</v>
      </c>
      <c r="N18" s="132">
        <v>200000</v>
      </c>
      <c r="O18" s="132">
        <v>200000</v>
      </c>
      <c r="P18" s="23">
        <v>212500</v>
      </c>
      <c r="Q18" s="23">
        <v>212500</v>
      </c>
      <c r="R18" s="23">
        <v>212500</v>
      </c>
      <c r="S18" s="23">
        <v>287500</v>
      </c>
      <c r="T18" s="23">
        <v>287500</v>
      </c>
      <c r="U18" s="23">
        <v>287500</v>
      </c>
      <c r="V18" s="23">
        <v>287500</v>
      </c>
      <c r="W18" s="23">
        <v>200000</v>
      </c>
      <c r="X18" s="23">
        <v>200000</v>
      </c>
      <c r="Y18" s="59">
        <v>200000</v>
      </c>
      <c r="Z18" s="31"/>
      <c r="AA18" s="15"/>
    </row>
    <row r="19" spans="1:27" s="14" customFormat="1" ht="17.25" customHeight="1" x14ac:dyDescent="0.25">
      <c r="A19" s="57">
        <v>7</v>
      </c>
      <c r="B19" s="20" t="s">
        <v>94</v>
      </c>
      <c r="C19" s="21" t="s">
        <v>23</v>
      </c>
      <c r="D19" s="19">
        <v>1</v>
      </c>
      <c r="E19" s="23" t="s">
        <v>51</v>
      </c>
      <c r="F19" s="23" t="s">
        <v>51</v>
      </c>
      <c r="G19" s="23" t="s">
        <v>51</v>
      </c>
      <c r="H19" s="23"/>
      <c r="I19" s="23" t="s">
        <v>51</v>
      </c>
      <c r="J19" s="23" t="s">
        <v>51</v>
      </c>
      <c r="K19" s="23" t="s">
        <v>51</v>
      </c>
      <c r="L19" s="23" t="s">
        <v>51</v>
      </c>
      <c r="M19" s="132" t="s">
        <v>51</v>
      </c>
      <c r="N19" s="132" t="s">
        <v>51</v>
      </c>
      <c r="O19" s="132" t="s">
        <v>51</v>
      </c>
      <c r="P19" s="23" t="s">
        <v>51</v>
      </c>
      <c r="Q19" s="23" t="s">
        <v>51</v>
      </c>
      <c r="R19" s="23" t="s">
        <v>51</v>
      </c>
      <c r="S19" s="23" t="s">
        <v>51</v>
      </c>
      <c r="T19" s="23" t="s">
        <v>51</v>
      </c>
      <c r="U19" s="23" t="s">
        <v>51</v>
      </c>
      <c r="V19" s="23" t="s">
        <v>51</v>
      </c>
      <c r="W19" s="23" t="s">
        <v>51</v>
      </c>
      <c r="X19" s="23" t="s">
        <v>51</v>
      </c>
      <c r="Y19" s="59" t="s">
        <v>51</v>
      </c>
      <c r="Z19" s="31"/>
      <c r="AA19" s="15"/>
    </row>
    <row r="20" spans="1:27" s="14" customFormat="1" x14ac:dyDescent="0.25">
      <c r="A20" s="57">
        <v>8</v>
      </c>
      <c r="B20" s="20" t="s">
        <v>44</v>
      </c>
      <c r="C20" s="21" t="s">
        <v>29</v>
      </c>
      <c r="D20" s="19">
        <v>1</v>
      </c>
      <c r="E20" s="23" t="s">
        <v>56</v>
      </c>
      <c r="F20" s="23"/>
      <c r="G20" s="23"/>
      <c r="H20" s="23"/>
      <c r="I20" s="23">
        <f t="shared" ref="I20:I21" si="2">F20*D20</f>
        <v>0</v>
      </c>
      <c r="J20" s="23" t="s">
        <v>56</v>
      </c>
      <c r="K20" s="23"/>
      <c r="L20" s="23">
        <f t="shared" si="1"/>
        <v>0</v>
      </c>
      <c r="M20" s="132" t="s">
        <v>56</v>
      </c>
      <c r="N20" s="132"/>
      <c r="O20" s="132">
        <f>N20*D20</f>
        <v>0</v>
      </c>
      <c r="P20" s="23" t="s">
        <v>56</v>
      </c>
      <c r="Q20" s="23">
        <v>0</v>
      </c>
      <c r="R20" s="23">
        <f>Q20*D20</f>
        <v>0</v>
      </c>
      <c r="S20" s="23" t="s">
        <v>56</v>
      </c>
      <c r="T20" s="23"/>
      <c r="U20" s="23"/>
      <c r="V20" s="23">
        <f>T20*D20</f>
        <v>0</v>
      </c>
      <c r="W20" s="29" t="s">
        <v>56</v>
      </c>
      <c r="X20" s="29"/>
      <c r="Y20" s="60" t="s">
        <v>15</v>
      </c>
      <c r="Z20" s="31"/>
    </row>
    <row r="21" spans="1:27" s="14" customFormat="1" ht="12.75" thickBot="1" x14ac:dyDescent="0.3">
      <c r="A21" s="61">
        <v>9</v>
      </c>
      <c r="B21" s="62" t="s">
        <v>45</v>
      </c>
      <c r="C21" s="63" t="s">
        <v>29</v>
      </c>
      <c r="D21" s="64">
        <v>1</v>
      </c>
      <c r="E21" s="65" t="s">
        <v>56</v>
      </c>
      <c r="F21" s="65"/>
      <c r="G21" s="65"/>
      <c r="H21" s="65"/>
      <c r="I21" s="65">
        <f t="shared" si="2"/>
        <v>0</v>
      </c>
      <c r="J21" s="65" t="s">
        <v>56</v>
      </c>
      <c r="K21" s="65"/>
      <c r="L21" s="65">
        <f t="shared" si="1"/>
        <v>0</v>
      </c>
      <c r="M21" s="140" t="s">
        <v>56</v>
      </c>
      <c r="N21" s="140"/>
      <c r="O21" s="140">
        <f>N21*D21</f>
        <v>0</v>
      </c>
      <c r="P21" s="65" t="s">
        <v>56</v>
      </c>
      <c r="Q21" s="65">
        <v>0</v>
      </c>
      <c r="R21" s="65">
        <f>Q21*D21</f>
        <v>0</v>
      </c>
      <c r="S21" s="65" t="s">
        <v>56</v>
      </c>
      <c r="T21" s="65"/>
      <c r="U21" s="65"/>
      <c r="V21" s="65">
        <f>T21*D21</f>
        <v>0</v>
      </c>
      <c r="W21" s="66" t="s">
        <v>56</v>
      </c>
      <c r="X21" s="66"/>
      <c r="Y21" s="67" t="s">
        <v>15</v>
      </c>
      <c r="Z21" s="31"/>
    </row>
    <row r="22" spans="1:27" ht="12.75" thickBot="1" x14ac:dyDescent="0.25">
      <c r="A22" s="105"/>
      <c r="B22" s="106"/>
      <c r="C22" s="107"/>
      <c r="D22" s="106"/>
      <c r="E22" s="106"/>
      <c r="F22" s="106"/>
      <c r="G22" s="106"/>
      <c r="H22" s="106"/>
      <c r="I22" s="106"/>
      <c r="J22" s="106"/>
      <c r="K22" s="106"/>
      <c r="L22" s="108"/>
      <c r="M22" s="141"/>
      <c r="N22" s="141"/>
      <c r="O22" s="142"/>
      <c r="P22" s="106"/>
      <c r="Q22" s="106"/>
      <c r="R22" s="108"/>
      <c r="S22" s="106"/>
      <c r="T22" s="106"/>
      <c r="U22" s="106"/>
      <c r="V22" s="108"/>
      <c r="W22" s="109"/>
      <c r="X22" s="109"/>
      <c r="Y22" s="110" t="s">
        <v>15</v>
      </c>
      <c r="Z22" s="32"/>
    </row>
    <row r="23" spans="1:27" s="1" customFormat="1" x14ac:dyDescent="0.2">
      <c r="A23" s="112"/>
      <c r="B23" s="113" t="s">
        <v>12</v>
      </c>
      <c r="C23" s="114"/>
      <c r="D23" s="113"/>
      <c r="E23" s="124"/>
      <c r="F23" s="124"/>
      <c r="G23" s="124"/>
      <c r="H23" s="124"/>
      <c r="I23" s="124">
        <f>SUM(I16:I21)</f>
        <v>335000</v>
      </c>
      <c r="J23" s="124"/>
      <c r="K23" s="124"/>
      <c r="L23" s="124">
        <f>SUM(L16:L21)</f>
        <v>412500</v>
      </c>
      <c r="M23" s="143"/>
      <c r="N23" s="143"/>
      <c r="O23" s="143">
        <f>SUM(O16:O21)</f>
        <v>275000</v>
      </c>
      <c r="P23" s="124"/>
      <c r="Q23" s="124"/>
      <c r="R23" s="124">
        <f>SUM(R16:R21)</f>
        <v>562500</v>
      </c>
      <c r="S23" s="124"/>
      <c r="T23" s="124"/>
      <c r="U23" s="124"/>
      <c r="V23" s="124">
        <f>SUM(V16:V21)</f>
        <v>437500</v>
      </c>
      <c r="W23" s="124"/>
      <c r="X23" s="124"/>
      <c r="Y23" s="125">
        <f>SUM(Y16:Y21)</f>
        <v>300000</v>
      </c>
      <c r="Z23" s="33"/>
    </row>
    <row r="24" spans="1:27" s="1" customFormat="1" x14ac:dyDescent="0.2">
      <c r="A24" s="99"/>
      <c r="B24" s="7" t="s">
        <v>82</v>
      </c>
      <c r="C24" s="40">
        <v>0.18</v>
      </c>
      <c r="D24" s="7"/>
      <c r="E24" s="126"/>
      <c r="F24" s="126"/>
      <c r="G24" s="126"/>
      <c r="H24" s="126"/>
      <c r="I24" s="126">
        <f>I23*C24</f>
        <v>60300</v>
      </c>
      <c r="J24" s="126"/>
      <c r="K24" s="126"/>
      <c r="L24" s="126">
        <f>L23*C24</f>
        <v>74250</v>
      </c>
      <c r="M24" s="144"/>
      <c r="N24" s="144"/>
      <c r="O24" s="144">
        <f>O23*C24</f>
        <v>49500</v>
      </c>
      <c r="P24" s="126"/>
      <c r="Q24" s="126"/>
      <c r="R24" s="126">
        <f>R23*C24</f>
        <v>101250</v>
      </c>
      <c r="S24" s="126"/>
      <c r="T24" s="126"/>
      <c r="U24" s="126"/>
      <c r="V24" s="126">
        <f>V23*C24</f>
        <v>78750</v>
      </c>
      <c r="W24" s="126"/>
      <c r="X24" s="126"/>
      <c r="Y24" s="127">
        <f>Y23*C24</f>
        <v>54000</v>
      </c>
      <c r="Z24" s="33"/>
    </row>
    <row r="25" spans="1:27" s="1" customFormat="1" ht="12.75" thickBot="1" x14ac:dyDescent="0.25">
      <c r="A25" s="115"/>
      <c r="B25" s="116" t="s">
        <v>13</v>
      </c>
      <c r="C25" s="117"/>
      <c r="D25" s="116"/>
      <c r="E25" s="128"/>
      <c r="F25" s="128"/>
      <c r="G25" s="128"/>
      <c r="H25" s="128"/>
      <c r="I25" s="128">
        <f>I23+I24</f>
        <v>395300</v>
      </c>
      <c r="J25" s="128"/>
      <c r="K25" s="128"/>
      <c r="L25" s="128">
        <f>L23+L24</f>
        <v>486750</v>
      </c>
      <c r="M25" s="145"/>
      <c r="N25" s="145"/>
      <c r="O25" s="145">
        <f>O23+O24</f>
        <v>324500</v>
      </c>
      <c r="P25" s="128"/>
      <c r="Q25" s="128"/>
      <c r="R25" s="128">
        <f>R23+R24</f>
        <v>663750</v>
      </c>
      <c r="S25" s="128"/>
      <c r="T25" s="128"/>
      <c r="U25" s="128"/>
      <c r="V25" s="128">
        <f>V23+V24</f>
        <v>516250</v>
      </c>
      <c r="W25" s="128"/>
      <c r="X25" s="128"/>
      <c r="Y25" s="129">
        <f>Y23+Y24</f>
        <v>354000</v>
      </c>
      <c r="Z25" s="33"/>
    </row>
    <row r="26" spans="1:27" x14ac:dyDescent="0.2">
      <c r="A26" s="98"/>
      <c r="B26" s="111" t="s">
        <v>50</v>
      </c>
      <c r="C26" s="50"/>
      <c r="D26" s="49"/>
      <c r="E26" s="171" t="s">
        <v>65</v>
      </c>
      <c r="F26" s="171"/>
      <c r="G26" s="171"/>
      <c r="H26" s="171"/>
      <c r="I26" s="171"/>
      <c r="J26" s="171" t="s">
        <v>63</v>
      </c>
      <c r="K26" s="171"/>
      <c r="L26" s="171"/>
      <c r="M26" s="172" t="s">
        <v>65</v>
      </c>
      <c r="N26" s="172"/>
      <c r="O26" s="172"/>
      <c r="P26" s="171" t="s">
        <v>65</v>
      </c>
      <c r="Q26" s="171"/>
      <c r="R26" s="171"/>
      <c r="S26" s="171" t="s">
        <v>65</v>
      </c>
      <c r="T26" s="171"/>
      <c r="U26" s="171"/>
      <c r="V26" s="171"/>
      <c r="W26" s="171" t="s">
        <v>66</v>
      </c>
      <c r="X26" s="171"/>
      <c r="Y26" s="175"/>
      <c r="Z26" s="35"/>
    </row>
    <row r="27" spans="1:27" x14ac:dyDescent="0.2">
      <c r="A27" s="100"/>
      <c r="B27" s="41" t="s">
        <v>49</v>
      </c>
      <c r="C27" s="10"/>
      <c r="D27" s="9"/>
      <c r="E27" s="176" t="s">
        <v>66</v>
      </c>
      <c r="F27" s="176"/>
      <c r="G27" s="176"/>
      <c r="H27" s="176"/>
      <c r="I27" s="176"/>
      <c r="J27" s="176" t="s">
        <v>66</v>
      </c>
      <c r="K27" s="176"/>
      <c r="L27" s="176"/>
      <c r="M27" s="177" t="s">
        <v>66</v>
      </c>
      <c r="N27" s="177"/>
      <c r="O27" s="177"/>
      <c r="P27" s="176" t="s">
        <v>66</v>
      </c>
      <c r="Q27" s="176"/>
      <c r="R27" s="176"/>
      <c r="S27" s="176" t="s">
        <v>66</v>
      </c>
      <c r="T27" s="176"/>
      <c r="U27" s="176"/>
      <c r="V27" s="176"/>
      <c r="W27" s="176" t="s">
        <v>66</v>
      </c>
      <c r="X27" s="176"/>
      <c r="Y27" s="178"/>
      <c r="Z27" s="35"/>
    </row>
    <row r="28" spans="1:27" x14ac:dyDescent="0.2">
      <c r="A28" s="100"/>
      <c r="B28" s="41" t="s">
        <v>38</v>
      </c>
      <c r="C28" s="10"/>
      <c r="D28" s="9"/>
      <c r="E28" s="173" t="s">
        <v>73</v>
      </c>
      <c r="F28" s="173"/>
      <c r="G28" s="173"/>
      <c r="H28" s="173"/>
      <c r="I28" s="173"/>
      <c r="J28" s="179" t="s">
        <v>92</v>
      </c>
      <c r="K28" s="179"/>
      <c r="L28" s="179"/>
      <c r="M28" s="180" t="s">
        <v>69</v>
      </c>
      <c r="N28" s="180"/>
      <c r="O28" s="180"/>
      <c r="P28" s="173" t="s">
        <v>52</v>
      </c>
      <c r="Q28" s="173"/>
      <c r="R28" s="173"/>
      <c r="S28" s="173" t="s">
        <v>87</v>
      </c>
      <c r="T28" s="173"/>
      <c r="U28" s="173"/>
      <c r="V28" s="173"/>
      <c r="W28" s="173" t="s">
        <v>76</v>
      </c>
      <c r="X28" s="173"/>
      <c r="Y28" s="174"/>
      <c r="Z28" s="36"/>
    </row>
    <row r="29" spans="1:27" s="14" customFormat="1" x14ac:dyDescent="0.2">
      <c r="A29" s="57"/>
      <c r="B29" s="41" t="s">
        <v>18</v>
      </c>
      <c r="C29" s="21" t="s">
        <v>19</v>
      </c>
      <c r="D29" s="19"/>
      <c r="E29" s="176" t="s">
        <v>57</v>
      </c>
      <c r="F29" s="176"/>
      <c r="G29" s="176"/>
      <c r="H29" s="176"/>
      <c r="I29" s="176"/>
      <c r="J29" s="176" t="s">
        <v>24</v>
      </c>
      <c r="K29" s="176"/>
      <c r="L29" s="176"/>
      <c r="M29" s="177" t="s">
        <v>28</v>
      </c>
      <c r="N29" s="177"/>
      <c r="O29" s="177"/>
      <c r="P29" s="176" t="s">
        <v>28</v>
      </c>
      <c r="Q29" s="176"/>
      <c r="R29" s="176"/>
      <c r="S29" s="176" t="s">
        <v>57</v>
      </c>
      <c r="T29" s="176"/>
      <c r="U29" s="176"/>
      <c r="V29" s="176"/>
      <c r="W29" s="176" t="s">
        <v>24</v>
      </c>
      <c r="X29" s="176"/>
      <c r="Y29" s="178"/>
      <c r="Z29" s="35"/>
    </row>
    <row r="30" spans="1:27" s="14" customFormat="1" x14ac:dyDescent="0.2">
      <c r="A30" s="57"/>
      <c r="B30" s="41" t="s">
        <v>20</v>
      </c>
      <c r="C30" s="21" t="s">
        <v>19</v>
      </c>
      <c r="D30" s="19"/>
      <c r="E30" s="176" t="s">
        <v>57</v>
      </c>
      <c r="F30" s="176"/>
      <c r="G30" s="176"/>
      <c r="H30" s="176"/>
      <c r="I30" s="176"/>
      <c r="J30" s="176" t="s">
        <v>24</v>
      </c>
      <c r="K30" s="176"/>
      <c r="L30" s="176"/>
      <c r="M30" s="177" t="s">
        <v>24</v>
      </c>
      <c r="N30" s="177"/>
      <c r="O30" s="177"/>
      <c r="P30" s="176" t="s">
        <v>28</v>
      </c>
      <c r="Q30" s="176"/>
      <c r="R30" s="176"/>
      <c r="S30" s="176" t="s">
        <v>58</v>
      </c>
      <c r="T30" s="176"/>
      <c r="U30" s="176"/>
      <c r="V30" s="176"/>
      <c r="W30" s="176" t="s">
        <v>24</v>
      </c>
      <c r="X30" s="176"/>
      <c r="Y30" s="178"/>
      <c r="Z30" s="35"/>
    </row>
    <row r="31" spans="1:27" s="14" customFormat="1" x14ac:dyDescent="0.2">
      <c r="A31" s="57"/>
      <c r="B31" s="41" t="s">
        <v>21</v>
      </c>
      <c r="C31" s="21" t="s">
        <v>15</v>
      </c>
      <c r="D31" s="19"/>
      <c r="E31" s="176" t="s">
        <v>22</v>
      </c>
      <c r="F31" s="176"/>
      <c r="G31" s="176"/>
      <c r="H31" s="176"/>
      <c r="I31" s="176"/>
      <c r="J31" s="176" t="s">
        <v>22</v>
      </c>
      <c r="K31" s="176"/>
      <c r="L31" s="176"/>
      <c r="M31" s="177" t="s">
        <v>22</v>
      </c>
      <c r="N31" s="177"/>
      <c r="O31" s="177"/>
      <c r="P31" s="176" t="s">
        <v>22</v>
      </c>
      <c r="Q31" s="176"/>
      <c r="R31" s="176"/>
      <c r="S31" s="176" t="s">
        <v>22</v>
      </c>
      <c r="T31" s="176"/>
      <c r="U31" s="176"/>
      <c r="V31" s="176"/>
      <c r="W31" s="176" t="s">
        <v>22</v>
      </c>
      <c r="X31" s="176"/>
      <c r="Y31" s="178"/>
      <c r="Z31" s="35"/>
    </row>
    <row r="32" spans="1:27" ht="22.5" customHeight="1" x14ac:dyDescent="0.2">
      <c r="A32" s="100"/>
      <c r="B32" s="25" t="s">
        <v>35</v>
      </c>
      <c r="C32" s="10"/>
      <c r="D32" s="9"/>
      <c r="E32" s="181" t="s">
        <v>95</v>
      </c>
      <c r="F32" s="181"/>
      <c r="G32" s="181"/>
      <c r="H32" s="181"/>
      <c r="I32" s="181"/>
      <c r="J32" s="181" t="s">
        <v>67</v>
      </c>
      <c r="K32" s="181"/>
      <c r="L32" s="181"/>
      <c r="M32" s="177" t="s">
        <v>70</v>
      </c>
      <c r="N32" s="177"/>
      <c r="O32" s="177"/>
      <c r="P32" s="176" t="s">
        <v>68</v>
      </c>
      <c r="Q32" s="176"/>
      <c r="R32" s="176"/>
      <c r="S32" s="181" t="s">
        <v>89</v>
      </c>
      <c r="T32" s="181"/>
      <c r="U32" s="181"/>
      <c r="V32" s="181"/>
      <c r="W32" s="181" t="s">
        <v>79</v>
      </c>
      <c r="X32" s="181"/>
      <c r="Y32" s="182"/>
      <c r="Z32" s="37"/>
    </row>
    <row r="33" spans="1:26" x14ac:dyDescent="0.2">
      <c r="A33" s="100"/>
      <c r="B33" s="25" t="s">
        <v>36</v>
      </c>
      <c r="C33" s="10"/>
      <c r="D33" s="9"/>
      <c r="E33" s="176" t="s">
        <v>37</v>
      </c>
      <c r="F33" s="176"/>
      <c r="G33" s="176"/>
      <c r="H33" s="176"/>
      <c r="I33" s="176"/>
      <c r="J33" s="176" t="s">
        <v>37</v>
      </c>
      <c r="K33" s="176"/>
      <c r="L33" s="176"/>
      <c r="M33" s="177" t="s">
        <v>37</v>
      </c>
      <c r="N33" s="177"/>
      <c r="O33" s="177"/>
      <c r="P33" s="176" t="s">
        <v>37</v>
      </c>
      <c r="Q33" s="176"/>
      <c r="R33" s="176"/>
      <c r="S33" s="176" t="s">
        <v>37</v>
      </c>
      <c r="T33" s="176"/>
      <c r="U33" s="176"/>
      <c r="V33" s="176"/>
      <c r="W33" s="176" t="s">
        <v>37</v>
      </c>
      <c r="X33" s="176"/>
      <c r="Y33" s="178"/>
      <c r="Z33" s="35"/>
    </row>
    <row r="34" spans="1:26" x14ac:dyDescent="0.2">
      <c r="A34" s="100"/>
      <c r="B34" s="25" t="s">
        <v>46</v>
      </c>
      <c r="C34" s="10" t="s">
        <v>48</v>
      </c>
      <c r="D34" s="9"/>
      <c r="E34" s="176" t="s">
        <v>106</v>
      </c>
      <c r="F34" s="176"/>
      <c r="G34" s="176"/>
      <c r="H34" s="176"/>
      <c r="I34" s="176"/>
      <c r="J34" s="176" t="s">
        <v>64</v>
      </c>
      <c r="K34" s="176"/>
      <c r="L34" s="176"/>
      <c r="M34" s="177" t="s">
        <v>54</v>
      </c>
      <c r="N34" s="177"/>
      <c r="O34" s="177"/>
      <c r="P34" s="176" t="s">
        <v>47</v>
      </c>
      <c r="Q34" s="176"/>
      <c r="R34" s="176"/>
      <c r="S34" s="176" t="s">
        <v>55</v>
      </c>
      <c r="T34" s="176"/>
      <c r="U34" s="176"/>
      <c r="V34" s="176"/>
      <c r="W34" s="176" t="s">
        <v>70</v>
      </c>
      <c r="X34" s="176"/>
      <c r="Y34" s="178"/>
      <c r="Z34" s="35"/>
    </row>
    <row r="35" spans="1:26" ht="24.75" customHeight="1" x14ac:dyDescent="0.2">
      <c r="A35" s="100"/>
      <c r="B35" s="25" t="s">
        <v>71</v>
      </c>
      <c r="C35" s="10"/>
      <c r="D35" s="9"/>
      <c r="E35" s="176" t="s">
        <v>84</v>
      </c>
      <c r="F35" s="176"/>
      <c r="G35" s="176"/>
      <c r="H35" s="176"/>
      <c r="I35" s="176"/>
      <c r="J35" s="189" t="s">
        <v>84</v>
      </c>
      <c r="K35" s="190"/>
      <c r="L35" s="191"/>
      <c r="M35" s="192" t="s">
        <v>91</v>
      </c>
      <c r="N35" s="192"/>
      <c r="O35" s="192"/>
      <c r="P35" s="189" t="s">
        <v>84</v>
      </c>
      <c r="Q35" s="190"/>
      <c r="R35" s="191"/>
      <c r="S35" s="176" t="s">
        <v>84</v>
      </c>
      <c r="T35" s="176"/>
      <c r="U35" s="176"/>
      <c r="V35" s="176"/>
      <c r="W35" s="176" t="s">
        <v>84</v>
      </c>
      <c r="X35" s="176"/>
      <c r="Y35" s="178"/>
    </row>
    <row r="36" spans="1:26" ht="12.75" thickBot="1" x14ac:dyDescent="0.25">
      <c r="A36" s="101"/>
      <c r="B36" s="102" t="s">
        <v>72</v>
      </c>
      <c r="C36" s="103"/>
      <c r="D36" s="104"/>
      <c r="E36" s="183" t="s">
        <v>83</v>
      </c>
      <c r="F36" s="183"/>
      <c r="G36" s="183"/>
      <c r="H36" s="183"/>
      <c r="I36" s="183"/>
      <c r="J36" s="184" t="s">
        <v>83</v>
      </c>
      <c r="K36" s="185"/>
      <c r="L36" s="186"/>
      <c r="M36" s="187" t="s">
        <v>83</v>
      </c>
      <c r="N36" s="187"/>
      <c r="O36" s="187"/>
      <c r="P36" s="184" t="s">
        <v>83</v>
      </c>
      <c r="Q36" s="185"/>
      <c r="R36" s="186"/>
      <c r="S36" s="183" t="s">
        <v>83</v>
      </c>
      <c r="T36" s="183"/>
      <c r="U36" s="183"/>
      <c r="V36" s="183"/>
      <c r="W36" s="183" t="s">
        <v>83</v>
      </c>
      <c r="X36" s="183"/>
      <c r="Y36" s="188"/>
    </row>
    <row r="38" spans="1:26" x14ac:dyDescent="0.2">
      <c r="B38" s="42"/>
    </row>
    <row r="39" spans="1:26" x14ac:dyDescent="0.2">
      <c r="B39" s="6"/>
      <c r="C39" s="43"/>
    </row>
    <row r="49" spans="2:22" s="11" customFormat="1" ht="21" x14ac:dyDescent="0.35">
      <c r="B49" s="12" t="s">
        <v>97</v>
      </c>
      <c r="G49" s="11" t="s">
        <v>100</v>
      </c>
      <c r="L49" s="17"/>
      <c r="N49" s="11" t="s">
        <v>107</v>
      </c>
      <c r="R49" s="17"/>
      <c r="V49" s="11" t="s">
        <v>98</v>
      </c>
    </row>
    <row r="50" spans="2:22" s="16" customFormat="1" ht="15" x14ac:dyDescent="0.25">
      <c r="C50" s="44"/>
      <c r="L50" s="45"/>
      <c r="O50" s="45"/>
      <c r="R50" s="45"/>
      <c r="V50" s="45"/>
    </row>
    <row r="51" spans="2:22" s="16" customFormat="1" ht="15" x14ac:dyDescent="0.25">
      <c r="C51" s="44"/>
      <c r="L51" s="45"/>
      <c r="O51" s="45"/>
      <c r="R51" s="45"/>
      <c r="V51" s="45"/>
    </row>
    <row r="52" spans="2:22" s="16" customFormat="1" ht="15" x14ac:dyDescent="0.25">
      <c r="C52" s="44"/>
      <c r="L52" s="45"/>
      <c r="O52" s="45"/>
      <c r="R52" s="45"/>
      <c r="V52" s="45"/>
    </row>
    <row r="53" spans="2:22" s="16" customFormat="1" ht="15" x14ac:dyDescent="0.25">
      <c r="C53" s="44"/>
      <c r="L53" s="45"/>
      <c r="O53" s="45"/>
      <c r="R53" s="45"/>
      <c r="V53" s="45"/>
    </row>
    <row r="54" spans="2:22" s="16" customFormat="1" ht="15" x14ac:dyDescent="0.25">
      <c r="C54" s="44"/>
      <c r="L54" s="45"/>
      <c r="O54" s="45"/>
      <c r="R54" s="45"/>
      <c r="V54" s="45"/>
    </row>
    <row r="55" spans="2:22" s="16" customFormat="1" ht="15" x14ac:dyDescent="0.25">
      <c r="C55" s="44"/>
      <c r="L55" s="45"/>
      <c r="O55" s="45"/>
      <c r="R55" s="45"/>
      <c r="V55" s="45"/>
    </row>
    <row r="56" spans="2:22" s="16" customFormat="1" ht="21" x14ac:dyDescent="0.35">
      <c r="B56" s="11" t="s">
        <v>99</v>
      </c>
      <c r="C56" s="44"/>
      <c r="L56" s="45"/>
      <c r="O56" s="45"/>
      <c r="R56" s="45"/>
      <c r="V56" s="45"/>
    </row>
    <row r="57" spans="2:22" s="16" customFormat="1" ht="15" x14ac:dyDescent="0.25">
      <c r="C57" s="44"/>
      <c r="L57" s="45"/>
      <c r="O57" s="45"/>
      <c r="R57" s="45"/>
      <c r="V57" s="45"/>
    </row>
    <row r="58" spans="2:22" customFormat="1" ht="15" x14ac:dyDescent="0.25">
      <c r="C58" s="46"/>
      <c r="L58" s="47"/>
      <c r="O58" s="47"/>
      <c r="R58" s="47"/>
      <c r="V58" s="47"/>
    </row>
  </sheetData>
  <mergeCells count="97">
    <mergeCell ref="S35:V35"/>
    <mergeCell ref="S36:V36"/>
    <mergeCell ref="W35:Y35"/>
    <mergeCell ref="W36:Y36"/>
    <mergeCell ref="T17:U17"/>
    <mergeCell ref="W30:Y30"/>
    <mergeCell ref="W31:Y31"/>
    <mergeCell ref="W32:Y32"/>
    <mergeCell ref="W33:Y33"/>
    <mergeCell ref="W34:Y34"/>
    <mergeCell ref="E35:I35"/>
    <mergeCell ref="E36:I36"/>
    <mergeCell ref="J35:L35"/>
    <mergeCell ref="J36:L36"/>
    <mergeCell ref="M35:O35"/>
    <mergeCell ref="M36:O36"/>
    <mergeCell ref="P35:R35"/>
    <mergeCell ref="P36:R36"/>
    <mergeCell ref="E3:I3"/>
    <mergeCell ref="J3:L3"/>
    <mergeCell ref="M3:O3"/>
    <mergeCell ref="P3:R3"/>
    <mergeCell ref="E5:I5"/>
    <mergeCell ref="J5:L5"/>
    <mergeCell ref="M5:O5"/>
    <mergeCell ref="P5:R5"/>
    <mergeCell ref="E4:I4"/>
    <mergeCell ref="J4:L4"/>
    <mergeCell ref="M4:O4"/>
    <mergeCell ref="P4:R4"/>
    <mergeCell ref="E7:I7"/>
    <mergeCell ref="J7:L7"/>
    <mergeCell ref="S3:V3"/>
    <mergeCell ref="W3:Y3"/>
    <mergeCell ref="W4:Y4"/>
    <mergeCell ref="W5:Y5"/>
    <mergeCell ref="W6:Y6"/>
    <mergeCell ref="S5:V5"/>
    <mergeCell ref="S4:V4"/>
    <mergeCell ref="W7:Y7"/>
    <mergeCell ref="W26:Y26"/>
    <mergeCell ref="W27:Y27"/>
    <mergeCell ref="W28:Y28"/>
    <mergeCell ref="W29:Y29"/>
    <mergeCell ref="M7:O7"/>
    <mergeCell ref="P7:R7"/>
    <mergeCell ref="S7:V7"/>
    <mergeCell ref="E6:I6"/>
    <mergeCell ref="J6:L6"/>
    <mergeCell ref="M6:O6"/>
    <mergeCell ref="P6:R6"/>
    <mergeCell ref="S6:V6"/>
    <mergeCell ref="E27:I27"/>
    <mergeCell ref="J27:L27"/>
    <mergeCell ref="M27:O27"/>
    <mergeCell ref="P27:R27"/>
    <mergeCell ref="S27:V27"/>
    <mergeCell ref="E26:I26"/>
    <mergeCell ref="J26:L26"/>
    <mergeCell ref="M26:O26"/>
    <mergeCell ref="P26:R26"/>
    <mergeCell ref="S26:V26"/>
    <mergeCell ref="E29:I29"/>
    <mergeCell ref="J29:L29"/>
    <mergeCell ref="M29:O29"/>
    <mergeCell ref="P29:R29"/>
    <mergeCell ref="S29:V29"/>
    <mergeCell ref="E28:I28"/>
    <mergeCell ref="J28:L28"/>
    <mergeCell ref="M28:O28"/>
    <mergeCell ref="P28:R28"/>
    <mergeCell ref="S28:V28"/>
    <mergeCell ref="E31:I31"/>
    <mergeCell ref="J31:L31"/>
    <mergeCell ref="M31:O31"/>
    <mergeCell ref="P31:R31"/>
    <mergeCell ref="S31:V31"/>
    <mergeCell ref="E30:I30"/>
    <mergeCell ref="J30:L30"/>
    <mergeCell ref="M30:O30"/>
    <mergeCell ref="P30:R30"/>
    <mergeCell ref="S30:V30"/>
    <mergeCell ref="E33:I33"/>
    <mergeCell ref="J33:L33"/>
    <mergeCell ref="M33:O33"/>
    <mergeCell ref="P33:R33"/>
    <mergeCell ref="S33:V33"/>
    <mergeCell ref="E32:I32"/>
    <mergeCell ref="J32:L32"/>
    <mergeCell ref="M32:O32"/>
    <mergeCell ref="P32:R32"/>
    <mergeCell ref="S32:V32"/>
    <mergeCell ref="E34:I34"/>
    <mergeCell ref="J34:L34"/>
    <mergeCell ref="M34:O34"/>
    <mergeCell ref="P34:R34"/>
    <mergeCell ref="S34:V34"/>
  </mergeCells>
  <pageMargins left="0" right="0" top="0.75" bottom="0.75" header="0.3" footer="0.3"/>
  <pageSetup paperSize="8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F0F6-3F30-48CB-8003-1E5CA16B5A94}">
  <dimension ref="B3:Z45"/>
  <sheetViews>
    <sheetView workbookViewId="0">
      <selection activeCell="B1" sqref="B1"/>
    </sheetView>
  </sheetViews>
  <sheetFormatPr defaultRowHeight="15" x14ac:dyDescent="0.25"/>
  <sheetData>
    <row r="3" spans="2:26" ht="21.75" thickBot="1" x14ac:dyDescent="0.4">
      <c r="B3" s="12"/>
      <c r="C3" s="11"/>
      <c r="D3" s="13" t="s">
        <v>102</v>
      </c>
      <c r="E3" s="11"/>
      <c r="F3" s="11"/>
      <c r="G3" s="11"/>
      <c r="H3" s="11"/>
      <c r="I3" s="11"/>
      <c r="J3" s="11"/>
      <c r="K3" s="11"/>
      <c r="L3" s="11"/>
      <c r="M3" s="17"/>
      <c r="N3" s="11"/>
      <c r="O3" s="11"/>
      <c r="P3" s="17"/>
      <c r="Q3" s="11"/>
      <c r="R3" s="11"/>
      <c r="S3" s="17"/>
      <c r="T3" s="11"/>
      <c r="U3" s="11"/>
      <c r="V3" s="11"/>
      <c r="W3" s="17"/>
      <c r="X3" s="11"/>
      <c r="Y3" s="11"/>
      <c r="Z3" s="11"/>
    </row>
    <row r="4" spans="2:26" x14ac:dyDescent="0.25">
      <c r="B4" s="118"/>
      <c r="C4" s="119"/>
      <c r="D4" s="120"/>
      <c r="E4" s="119"/>
      <c r="F4" s="163" t="s">
        <v>0</v>
      </c>
      <c r="G4" s="163"/>
      <c r="H4" s="163"/>
      <c r="I4" s="163"/>
      <c r="J4" s="163"/>
      <c r="K4" s="163" t="s">
        <v>1</v>
      </c>
      <c r="L4" s="163"/>
      <c r="M4" s="163"/>
      <c r="N4" s="165" t="s">
        <v>2</v>
      </c>
      <c r="O4" s="165"/>
      <c r="P4" s="165"/>
      <c r="Q4" s="163" t="s">
        <v>3</v>
      </c>
      <c r="R4" s="163"/>
      <c r="S4" s="163"/>
      <c r="T4" s="163" t="s">
        <v>4</v>
      </c>
      <c r="U4" s="163"/>
      <c r="V4" s="163"/>
      <c r="W4" s="163"/>
      <c r="X4" s="163" t="s">
        <v>78</v>
      </c>
      <c r="Y4" s="163"/>
      <c r="Z4" s="164"/>
    </row>
    <row r="5" spans="2:26" x14ac:dyDescent="0.25">
      <c r="B5" s="121"/>
      <c r="C5" s="8" t="s">
        <v>9</v>
      </c>
      <c r="D5" s="5"/>
      <c r="E5" s="4"/>
      <c r="F5" s="166" t="s">
        <v>27</v>
      </c>
      <c r="G5" s="166"/>
      <c r="H5" s="166"/>
      <c r="I5" s="166"/>
      <c r="J5" s="166"/>
      <c r="K5" s="166" t="s">
        <v>32</v>
      </c>
      <c r="L5" s="166"/>
      <c r="M5" s="166"/>
      <c r="N5" s="168" t="s">
        <v>30</v>
      </c>
      <c r="O5" s="168"/>
      <c r="P5" s="168"/>
      <c r="Q5" s="166" t="s">
        <v>31</v>
      </c>
      <c r="R5" s="166"/>
      <c r="S5" s="166"/>
      <c r="T5" s="166" t="s">
        <v>59</v>
      </c>
      <c r="U5" s="166"/>
      <c r="V5" s="166"/>
      <c r="W5" s="166"/>
      <c r="X5" s="166" t="s">
        <v>101</v>
      </c>
      <c r="Y5" s="166"/>
      <c r="Z5" s="167"/>
    </row>
    <row r="6" spans="2:26" x14ac:dyDescent="0.25">
      <c r="B6" s="121"/>
      <c r="C6" s="8" t="s">
        <v>11</v>
      </c>
      <c r="D6" s="5"/>
      <c r="E6" s="4"/>
      <c r="F6" s="166" t="s">
        <v>33</v>
      </c>
      <c r="G6" s="166"/>
      <c r="H6" s="166"/>
      <c r="I6" s="166"/>
      <c r="J6" s="166"/>
      <c r="K6" s="166" t="s">
        <v>41</v>
      </c>
      <c r="L6" s="166"/>
      <c r="M6" s="166"/>
      <c r="N6" s="168" t="s">
        <v>53</v>
      </c>
      <c r="O6" s="168"/>
      <c r="P6" s="168"/>
      <c r="Q6" s="166" t="s">
        <v>42</v>
      </c>
      <c r="R6" s="166"/>
      <c r="S6" s="166"/>
      <c r="T6" s="166" t="s">
        <v>34</v>
      </c>
      <c r="U6" s="166"/>
      <c r="V6" s="166"/>
      <c r="W6" s="166"/>
      <c r="X6" s="166" t="s">
        <v>75</v>
      </c>
      <c r="Y6" s="166"/>
      <c r="Z6" s="167"/>
    </row>
    <row r="7" spans="2:26" x14ac:dyDescent="0.25">
      <c r="B7" s="121"/>
      <c r="C7" s="8" t="s">
        <v>10</v>
      </c>
      <c r="D7" s="5"/>
      <c r="E7" s="4"/>
      <c r="F7" s="166">
        <v>9999596836</v>
      </c>
      <c r="G7" s="166"/>
      <c r="H7" s="166"/>
      <c r="I7" s="166"/>
      <c r="J7" s="166"/>
      <c r="K7" s="166">
        <v>9878219520</v>
      </c>
      <c r="L7" s="166"/>
      <c r="M7" s="166"/>
      <c r="N7" s="168">
        <v>8385058000</v>
      </c>
      <c r="O7" s="168"/>
      <c r="P7" s="168"/>
      <c r="Q7" s="166">
        <v>7977245039</v>
      </c>
      <c r="R7" s="166"/>
      <c r="S7" s="166"/>
      <c r="T7" s="166">
        <v>9619037745</v>
      </c>
      <c r="U7" s="166"/>
      <c r="V7" s="166"/>
      <c r="W7" s="166"/>
      <c r="X7" s="166">
        <v>6280936392</v>
      </c>
      <c r="Y7" s="166"/>
      <c r="Z7" s="167"/>
    </row>
    <row r="8" spans="2:26" x14ac:dyDescent="0.25">
      <c r="B8" s="121"/>
      <c r="C8" s="8" t="s">
        <v>39</v>
      </c>
      <c r="D8" s="5"/>
      <c r="E8" s="4"/>
      <c r="F8" s="166" t="s">
        <v>77</v>
      </c>
      <c r="G8" s="166"/>
      <c r="H8" s="166"/>
      <c r="I8" s="166"/>
      <c r="J8" s="166"/>
      <c r="K8" s="166" t="s">
        <v>40</v>
      </c>
      <c r="L8" s="166"/>
      <c r="M8" s="166"/>
      <c r="N8" s="168" t="s">
        <v>90</v>
      </c>
      <c r="O8" s="168"/>
      <c r="P8" s="168"/>
      <c r="Q8" s="166" t="s">
        <v>43</v>
      </c>
      <c r="R8" s="166"/>
      <c r="S8" s="166"/>
      <c r="T8" s="166" t="s">
        <v>86</v>
      </c>
      <c r="U8" s="166"/>
      <c r="V8" s="166"/>
      <c r="W8" s="166"/>
      <c r="X8" s="166" t="s">
        <v>85</v>
      </c>
      <c r="Y8" s="166"/>
      <c r="Z8" s="167"/>
    </row>
    <row r="9" spans="2:26" ht="48.75" thickBot="1" x14ac:dyDescent="0.3">
      <c r="B9" s="157" t="s">
        <v>7</v>
      </c>
      <c r="C9" s="158" t="s">
        <v>8</v>
      </c>
      <c r="D9" s="158" t="s">
        <v>25</v>
      </c>
      <c r="E9" s="158" t="s">
        <v>26</v>
      </c>
      <c r="F9" s="158" t="s">
        <v>5</v>
      </c>
      <c r="G9" s="158" t="s">
        <v>104</v>
      </c>
      <c r="H9" s="158" t="s">
        <v>74</v>
      </c>
      <c r="I9" s="158" t="s">
        <v>105</v>
      </c>
      <c r="J9" s="158" t="s">
        <v>6</v>
      </c>
      <c r="K9" s="158" t="s">
        <v>5</v>
      </c>
      <c r="L9" s="158" t="s">
        <v>60</v>
      </c>
      <c r="M9" s="159" t="s">
        <v>6</v>
      </c>
      <c r="N9" s="160" t="s">
        <v>5</v>
      </c>
      <c r="O9" s="160" t="s">
        <v>60</v>
      </c>
      <c r="P9" s="161" t="s">
        <v>6</v>
      </c>
      <c r="Q9" s="158" t="s">
        <v>5</v>
      </c>
      <c r="R9" s="158" t="s">
        <v>60</v>
      </c>
      <c r="S9" s="159" t="s">
        <v>6</v>
      </c>
      <c r="T9" s="158" t="s">
        <v>5</v>
      </c>
      <c r="U9" s="158" t="s">
        <v>60</v>
      </c>
      <c r="V9" s="158" t="s">
        <v>74</v>
      </c>
      <c r="W9" s="159" t="s">
        <v>6</v>
      </c>
      <c r="X9" s="158" t="s">
        <v>5</v>
      </c>
      <c r="Y9" s="158" t="s">
        <v>60</v>
      </c>
      <c r="Z9" s="162" t="s">
        <v>6</v>
      </c>
    </row>
    <row r="10" spans="2:26" ht="48" x14ac:dyDescent="0.25">
      <c r="B10" s="146">
        <v>1</v>
      </c>
      <c r="C10" s="147" t="s">
        <v>61</v>
      </c>
      <c r="D10" s="148" t="s">
        <v>80</v>
      </c>
      <c r="E10" s="149">
        <v>13000</v>
      </c>
      <c r="F10" s="150">
        <v>11.8</v>
      </c>
      <c r="G10" s="150">
        <v>10.25</v>
      </c>
      <c r="H10" s="151">
        <v>10.25</v>
      </c>
      <c r="I10" s="151">
        <v>10.25</v>
      </c>
      <c r="J10" s="152">
        <f>E10*I10</f>
        <v>133250</v>
      </c>
      <c r="K10" s="153">
        <v>13.21</v>
      </c>
      <c r="L10" s="153">
        <v>13.21</v>
      </c>
      <c r="M10" s="152">
        <f>L10*E10</f>
        <v>171730</v>
      </c>
      <c r="N10" s="154">
        <v>16</v>
      </c>
      <c r="O10" s="154">
        <v>13</v>
      </c>
      <c r="P10" s="155">
        <f>O10*E10</f>
        <v>169000</v>
      </c>
      <c r="Q10" s="153">
        <v>15.18</v>
      </c>
      <c r="R10" s="153">
        <v>15.18</v>
      </c>
      <c r="S10" s="152">
        <f>R10*E10</f>
        <v>197340</v>
      </c>
      <c r="T10" s="153">
        <v>14.35</v>
      </c>
      <c r="U10" s="153">
        <v>12</v>
      </c>
      <c r="V10" s="153">
        <v>11.3</v>
      </c>
      <c r="W10" s="152">
        <f>E10*V10</f>
        <v>146900</v>
      </c>
      <c r="X10" s="153">
        <v>14.93</v>
      </c>
      <c r="Y10" s="153">
        <v>12</v>
      </c>
      <c r="Z10" s="156">
        <f>E10*Y10</f>
        <v>156000</v>
      </c>
    </row>
    <row r="11" spans="2:26" ht="60" x14ac:dyDescent="0.25">
      <c r="B11" s="57">
        <v>2</v>
      </c>
      <c r="C11" s="20" t="s">
        <v>62</v>
      </c>
      <c r="D11" s="21" t="s">
        <v>80</v>
      </c>
      <c r="E11" s="19">
        <v>13000</v>
      </c>
      <c r="F11" s="22">
        <v>2.89</v>
      </c>
      <c r="G11" s="22">
        <v>2.5</v>
      </c>
      <c r="H11" s="28">
        <v>1.75</v>
      </c>
      <c r="I11" s="28">
        <v>1.75</v>
      </c>
      <c r="J11" s="23">
        <f>E11*I11</f>
        <v>22750</v>
      </c>
      <c r="K11" s="24">
        <v>5</v>
      </c>
      <c r="L11" s="24">
        <v>4.79</v>
      </c>
      <c r="M11" s="23">
        <f>L11*E11</f>
        <v>62270</v>
      </c>
      <c r="N11" s="131" t="s">
        <v>56</v>
      </c>
      <c r="O11" s="131">
        <v>0</v>
      </c>
      <c r="P11" s="132">
        <f>O11*E11</f>
        <v>0</v>
      </c>
      <c r="Q11" s="24">
        <v>4.5</v>
      </c>
      <c r="R11" s="24">
        <v>4</v>
      </c>
      <c r="S11" s="23">
        <f>R11*E11</f>
        <v>52000</v>
      </c>
      <c r="T11" s="24">
        <v>5.68</v>
      </c>
      <c r="U11" s="24">
        <v>1.2</v>
      </c>
      <c r="V11" s="24">
        <v>1</v>
      </c>
      <c r="W11" s="23">
        <f>E11*V11</f>
        <v>13000</v>
      </c>
      <c r="X11" s="24" t="s">
        <v>56</v>
      </c>
      <c r="Y11" s="24"/>
      <c r="Z11" s="74"/>
    </row>
    <row r="12" spans="2:26" ht="48" x14ac:dyDescent="0.25">
      <c r="B12" s="57">
        <v>3</v>
      </c>
      <c r="C12" s="20" t="s">
        <v>96</v>
      </c>
      <c r="D12" s="21" t="s">
        <v>48</v>
      </c>
      <c r="E12" s="19">
        <v>12</v>
      </c>
      <c r="F12" s="23">
        <v>15000</v>
      </c>
      <c r="G12" s="23">
        <v>12500</v>
      </c>
      <c r="H12" s="27">
        <v>12000</v>
      </c>
      <c r="I12" s="27">
        <v>11000</v>
      </c>
      <c r="J12" s="23">
        <f>E12*I12</f>
        <v>132000</v>
      </c>
      <c r="K12" s="23">
        <v>25000</v>
      </c>
      <c r="L12" s="23">
        <v>24000</v>
      </c>
      <c r="M12" s="23">
        <f>L12*E12</f>
        <v>288000</v>
      </c>
      <c r="N12" s="132">
        <v>10000</v>
      </c>
      <c r="O12" s="132">
        <v>10000</v>
      </c>
      <c r="P12" s="132">
        <f>O12*E12</f>
        <v>120000</v>
      </c>
      <c r="Q12" s="23">
        <v>32000</v>
      </c>
      <c r="R12" s="23">
        <v>32000</v>
      </c>
      <c r="S12" s="23">
        <f>R12*E12</f>
        <v>384000</v>
      </c>
      <c r="T12" s="23">
        <v>24000</v>
      </c>
      <c r="U12" s="23">
        <v>18000</v>
      </c>
      <c r="V12" s="23">
        <v>13000</v>
      </c>
      <c r="W12" s="23">
        <f>E12*V12</f>
        <v>156000</v>
      </c>
      <c r="X12" s="23">
        <v>30000</v>
      </c>
      <c r="Y12" s="23">
        <v>29000</v>
      </c>
      <c r="Z12" s="59">
        <f>(E12*Y12)</f>
        <v>348000</v>
      </c>
    </row>
    <row r="13" spans="2:26" ht="15.75" thickBot="1" x14ac:dyDescent="0.3">
      <c r="B13" s="83"/>
      <c r="C13" s="84"/>
      <c r="D13" s="85"/>
      <c r="E13" s="86"/>
      <c r="F13" s="87"/>
      <c r="G13" s="87"/>
      <c r="H13" s="87"/>
      <c r="I13" s="87"/>
      <c r="J13" s="88"/>
      <c r="K13" s="89"/>
      <c r="L13" s="89"/>
      <c r="M13" s="88"/>
      <c r="N13" s="133"/>
      <c r="O13" s="133"/>
      <c r="P13" s="134"/>
      <c r="Q13" s="89"/>
      <c r="R13" s="89"/>
      <c r="S13" s="88"/>
      <c r="T13" s="89"/>
      <c r="U13" s="89"/>
      <c r="V13" s="89"/>
      <c r="W13" s="88"/>
      <c r="X13" s="90"/>
      <c r="Y13" s="90"/>
      <c r="Z13" s="91"/>
    </row>
    <row r="14" spans="2:26" ht="24" x14ac:dyDescent="0.25">
      <c r="B14" s="92"/>
      <c r="C14" s="93" t="s">
        <v>12</v>
      </c>
      <c r="D14" s="94"/>
      <c r="E14" s="95"/>
      <c r="F14" s="95"/>
      <c r="G14" s="95"/>
      <c r="H14" s="95"/>
      <c r="I14" s="95"/>
      <c r="J14" s="95">
        <f>SUM(J10:J12)</f>
        <v>288000</v>
      </c>
      <c r="K14" s="95"/>
      <c r="L14" s="95"/>
      <c r="M14" s="95">
        <f>SUM(M10:M12)</f>
        <v>522000</v>
      </c>
      <c r="N14" s="135"/>
      <c r="O14" s="135"/>
      <c r="P14" s="135">
        <f>SUM(P10:P12)</f>
        <v>289000</v>
      </c>
      <c r="Q14" s="95"/>
      <c r="R14" s="95"/>
      <c r="S14" s="95">
        <f>SUM(S10:S12)</f>
        <v>633340</v>
      </c>
      <c r="T14" s="95"/>
      <c r="U14" s="95"/>
      <c r="V14" s="95"/>
      <c r="W14" s="95">
        <f>SUM(W10:W12)</f>
        <v>315900</v>
      </c>
      <c r="X14" s="96"/>
      <c r="Y14" s="96"/>
      <c r="Z14" s="97">
        <f>SUM(Z10,Z12)</f>
        <v>504000</v>
      </c>
    </row>
    <row r="15" spans="2:26" ht="48.75" thickBot="1" x14ac:dyDescent="0.3">
      <c r="B15" s="75"/>
      <c r="C15" s="76" t="s">
        <v>81</v>
      </c>
      <c r="D15" s="77"/>
      <c r="E15" s="78"/>
      <c r="F15" s="79"/>
      <c r="G15" s="79"/>
      <c r="H15" s="79"/>
      <c r="I15" s="79"/>
      <c r="J15" s="80"/>
      <c r="K15" s="81"/>
      <c r="L15" s="81"/>
      <c r="M15" s="80"/>
      <c r="N15" s="136"/>
      <c r="O15" s="136"/>
      <c r="P15" s="137"/>
      <c r="Q15" s="81"/>
      <c r="R15" s="81"/>
      <c r="S15" s="80"/>
      <c r="T15" s="81"/>
      <c r="U15" s="81"/>
      <c r="V15" s="81"/>
      <c r="W15" s="80"/>
      <c r="X15" s="81"/>
      <c r="Y15" s="81"/>
      <c r="Z15" s="82"/>
    </row>
    <row r="16" spans="2:26" ht="15.75" thickBot="1" x14ac:dyDescent="0.3">
      <c r="B16" s="122"/>
      <c r="C16" s="69"/>
      <c r="D16" s="70"/>
      <c r="E16" s="68"/>
      <c r="F16" s="71"/>
      <c r="G16" s="71"/>
      <c r="H16" s="71"/>
      <c r="I16" s="71"/>
      <c r="J16" s="72"/>
      <c r="K16" s="73"/>
      <c r="L16" s="73"/>
      <c r="M16" s="72"/>
      <c r="N16" s="138"/>
      <c r="O16" s="138"/>
      <c r="P16" s="139"/>
      <c r="Q16" s="73"/>
      <c r="R16" s="73"/>
      <c r="S16" s="72"/>
      <c r="T16" s="73"/>
      <c r="U16" s="73"/>
      <c r="V16" s="73"/>
      <c r="W16" s="72"/>
      <c r="X16" s="73"/>
      <c r="Y16" s="73"/>
      <c r="Z16" s="123"/>
    </row>
    <row r="17" spans="2:26" ht="84" x14ac:dyDescent="0.25">
      <c r="B17" s="51">
        <v>4</v>
      </c>
      <c r="C17" s="52" t="s">
        <v>14</v>
      </c>
      <c r="D17" s="53" t="s">
        <v>29</v>
      </c>
      <c r="E17" s="54">
        <v>1</v>
      </c>
      <c r="F17" s="55">
        <v>150000</v>
      </c>
      <c r="G17" s="55">
        <v>135000</v>
      </c>
      <c r="H17" s="55"/>
      <c r="I17" s="55">
        <v>135000</v>
      </c>
      <c r="J17" s="55">
        <f>I17*E17</f>
        <v>135000</v>
      </c>
      <c r="K17" s="55">
        <v>300000</v>
      </c>
      <c r="L17" s="55">
        <v>200000</v>
      </c>
      <c r="M17" s="55">
        <f>L17*E17</f>
        <v>200000</v>
      </c>
      <c r="N17" s="130">
        <v>75000</v>
      </c>
      <c r="O17" s="130">
        <v>75000</v>
      </c>
      <c r="P17" s="130">
        <f>O17*E17</f>
        <v>75000</v>
      </c>
      <c r="Q17" s="55">
        <v>450000</v>
      </c>
      <c r="R17" s="55">
        <v>350000</v>
      </c>
      <c r="S17" s="55">
        <f>R17*E17</f>
        <v>350000</v>
      </c>
      <c r="T17" s="55">
        <v>150000</v>
      </c>
      <c r="U17" s="55">
        <v>150000</v>
      </c>
      <c r="V17" s="55">
        <v>150000</v>
      </c>
      <c r="W17" s="55">
        <f>U17*E17</f>
        <v>150000</v>
      </c>
      <c r="X17" s="55">
        <v>150000</v>
      </c>
      <c r="Y17" s="55">
        <v>100000</v>
      </c>
      <c r="Z17" s="56">
        <f>(Y17*E17)</f>
        <v>100000</v>
      </c>
    </row>
    <row r="18" spans="2:26" ht="96" x14ac:dyDescent="0.25">
      <c r="B18" s="57">
        <v>5</v>
      </c>
      <c r="C18" s="26" t="s">
        <v>16</v>
      </c>
      <c r="D18" s="21" t="s">
        <v>17</v>
      </c>
      <c r="E18" s="19">
        <v>1</v>
      </c>
      <c r="F18" s="23" t="s">
        <v>56</v>
      </c>
      <c r="G18" s="23"/>
      <c r="H18" s="23"/>
      <c r="I18" s="23" t="s">
        <v>56</v>
      </c>
      <c r="J18" s="23"/>
      <c r="K18" s="23"/>
      <c r="L18" s="23"/>
      <c r="M18" s="23">
        <f>L18*E18</f>
        <v>0</v>
      </c>
      <c r="N18" s="132" t="s">
        <v>56</v>
      </c>
      <c r="O18" s="132"/>
      <c r="P18" s="132">
        <f>O18*E18</f>
        <v>0</v>
      </c>
      <c r="Q18" s="23" t="s">
        <v>56</v>
      </c>
      <c r="R18" s="23"/>
      <c r="S18" s="23">
        <f>R18*E18</f>
        <v>0</v>
      </c>
      <c r="T18" s="23" t="s">
        <v>56</v>
      </c>
      <c r="U18" s="169" t="s">
        <v>88</v>
      </c>
      <c r="V18" s="170"/>
      <c r="W18" s="23">
        <v>0</v>
      </c>
      <c r="X18" s="29" t="s">
        <v>56</v>
      </c>
      <c r="Y18" s="29"/>
      <c r="Z18" s="58" t="s">
        <v>15</v>
      </c>
    </row>
    <row r="19" spans="2:26" ht="60" x14ac:dyDescent="0.25">
      <c r="B19" s="57">
        <v>6</v>
      </c>
      <c r="C19" s="20" t="s">
        <v>93</v>
      </c>
      <c r="D19" s="21" t="s">
        <v>23</v>
      </c>
      <c r="E19" s="19" t="s">
        <v>103</v>
      </c>
      <c r="F19" s="23">
        <v>200000</v>
      </c>
      <c r="G19" s="23">
        <v>200000</v>
      </c>
      <c r="H19" s="23">
        <v>200000</v>
      </c>
      <c r="I19" s="23">
        <v>200000</v>
      </c>
      <c r="J19" s="23">
        <v>200000</v>
      </c>
      <c r="K19" s="23">
        <v>212500</v>
      </c>
      <c r="L19" s="23">
        <v>212500</v>
      </c>
      <c r="M19" s="23">
        <v>212500</v>
      </c>
      <c r="N19" s="132">
        <v>200000</v>
      </c>
      <c r="O19" s="132">
        <v>200000</v>
      </c>
      <c r="P19" s="132">
        <v>200000</v>
      </c>
      <c r="Q19" s="23">
        <v>212500</v>
      </c>
      <c r="R19" s="23">
        <v>212500</v>
      </c>
      <c r="S19" s="23">
        <v>212500</v>
      </c>
      <c r="T19" s="23">
        <v>287500</v>
      </c>
      <c r="U19" s="23">
        <v>287500</v>
      </c>
      <c r="V19" s="23">
        <v>287500</v>
      </c>
      <c r="W19" s="23">
        <v>287500</v>
      </c>
      <c r="X19" s="23">
        <v>200000</v>
      </c>
      <c r="Y19" s="23">
        <v>200000</v>
      </c>
      <c r="Z19" s="59">
        <v>200000</v>
      </c>
    </row>
    <row r="20" spans="2:26" ht="48" x14ac:dyDescent="0.25">
      <c r="B20" s="57">
        <v>7</v>
      </c>
      <c r="C20" s="20" t="s">
        <v>94</v>
      </c>
      <c r="D20" s="21" t="s">
        <v>23</v>
      </c>
      <c r="E20" s="19">
        <v>1</v>
      </c>
      <c r="F20" s="23" t="s">
        <v>51</v>
      </c>
      <c r="G20" s="23" t="s">
        <v>51</v>
      </c>
      <c r="H20" s="23" t="s">
        <v>51</v>
      </c>
      <c r="I20" s="23"/>
      <c r="J20" s="23" t="s">
        <v>51</v>
      </c>
      <c r="K20" s="23" t="s">
        <v>51</v>
      </c>
      <c r="L20" s="23" t="s">
        <v>51</v>
      </c>
      <c r="M20" s="23" t="s">
        <v>51</v>
      </c>
      <c r="N20" s="132" t="s">
        <v>51</v>
      </c>
      <c r="O20" s="132" t="s">
        <v>51</v>
      </c>
      <c r="P20" s="132" t="s">
        <v>51</v>
      </c>
      <c r="Q20" s="23" t="s">
        <v>51</v>
      </c>
      <c r="R20" s="23" t="s">
        <v>51</v>
      </c>
      <c r="S20" s="23" t="s">
        <v>51</v>
      </c>
      <c r="T20" s="23" t="s">
        <v>51</v>
      </c>
      <c r="U20" s="23" t="s">
        <v>51</v>
      </c>
      <c r="V20" s="23" t="s">
        <v>51</v>
      </c>
      <c r="W20" s="23" t="s">
        <v>51</v>
      </c>
      <c r="X20" s="23" t="s">
        <v>51</v>
      </c>
      <c r="Y20" s="23" t="s">
        <v>51</v>
      </c>
      <c r="Z20" s="59" t="s">
        <v>51</v>
      </c>
    </row>
    <row r="21" spans="2:26" ht="48" x14ac:dyDescent="0.25">
      <c r="B21" s="57">
        <v>8</v>
      </c>
      <c r="C21" s="20" t="s">
        <v>44</v>
      </c>
      <c r="D21" s="21" t="s">
        <v>29</v>
      </c>
      <c r="E21" s="19">
        <v>1</v>
      </c>
      <c r="F21" s="23" t="s">
        <v>56</v>
      </c>
      <c r="G21" s="23"/>
      <c r="H21" s="23"/>
      <c r="I21" s="23"/>
      <c r="J21" s="23">
        <f>G21*E21</f>
        <v>0</v>
      </c>
      <c r="K21" s="23" t="s">
        <v>56</v>
      </c>
      <c r="L21" s="23"/>
      <c r="M21" s="23">
        <f>L21*E21</f>
        <v>0</v>
      </c>
      <c r="N21" s="132" t="s">
        <v>56</v>
      </c>
      <c r="O21" s="132"/>
      <c r="P21" s="132">
        <f>O21*E21</f>
        <v>0</v>
      </c>
      <c r="Q21" s="23" t="s">
        <v>56</v>
      </c>
      <c r="R21" s="23">
        <v>0</v>
      </c>
      <c r="S21" s="23">
        <f>R21*E21</f>
        <v>0</v>
      </c>
      <c r="T21" s="23" t="s">
        <v>56</v>
      </c>
      <c r="U21" s="23"/>
      <c r="V21" s="23"/>
      <c r="W21" s="23">
        <f>U21*E21</f>
        <v>0</v>
      </c>
      <c r="X21" s="29" t="s">
        <v>56</v>
      </c>
      <c r="Y21" s="29"/>
      <c r="Z21" s="60" t="s">
        <v>15</v>
      </c>
    </row>
    <row r="22" spans="2:26" ht="15.75" thickBot="1" x14ac:dyDescent="0.3">
      <c r="B22" s="61">
        <v>9</v>
      </c>
      <c r="C22" s="62" t="s">
        <v>45</v>
      </c>
      <c r="D22" s="63" t="s">
        <v>29</v>
      </c>
      <c r="E22" s="64">
        <v>1</v>
      </c>
      <c r="F22" s="65" t="s">
        <v>56</v>
      </c>
      <c r="G22" s="65"/>
      <c r="H22" s="65"/>
      <c r="I22" s="65"/>
      <c r="J22" s="65">
        <f>G22*E22</f>
        <v>0</v>
      </c>
      <c r="K22" s="65" t="s">
        <v>56</v>
      </c>
      <c r="L22" s="65"/>
      <c r="M22" s="65">
        <f>L22*E22</f>
        <v>0</v>
      </c>
      <c r="N22" s="140" t="s">
        <v>56</v>
      </c>
      <c r="O22" s="140"/>
      <c r="P22" s="140">
        <f>O22*E22</f>
        <v>0</v>
      </c>
      <c r="Q22" s="65" t="s">
        <v>56</v>
      </c>
      <c r="R22" s="65">
        <v>0</v>
      </c>
      <c r="S22" s="65">
        <f>R22*E22</f>
        <v>0</v>
      </c>
      <c r="T22" s="65" t="s">
        <v>56</v>
      </c>
      <c r="U22" s="65"/>
      <c r="V22" s="65"/>
      <c r="W22" s="65">
        <f>U22*E22</f>
        <v>0</v>
      </c>
      <c r="X22" s="66" t="s">
        <v>56</v>
      </c>
      <c r="Y22" s="66"/>
      <c r="Z22" s="67" t="s">
        <v>15</v>
      </c>
    </row>
    <row r="23" spans="2:26" ht="15.75" thickBot="1" x14ac:dyDescent="0.3">
      <c r="B23" s="105"/>
      <c r="C23" s="106"/>
      <c r="D23" s="107"/>
      <c r="E23" s="106"/>
      <c r="F23" s="106"/>
      <c r="G23" s="106"/>
      <c r="H23" s="106"/>
      <c r="I23" s="106"/>
      <c r="J23" s="106"/>
      <c r="K23" s="106"/>
      <c r="L23" s="106"/>
      <c r="M23" s="108"/>
      <c r="N23" s="141"/>
      <c r="O23" s="141"/>
      <c r="P23" s="142"/>
      <c r="Q23" s="106"/>
      <c r="R23" s="106"/>
      <c r="S23" s="108"/>
      <c r="T23" s="106"/>
      <c r="U23" s="106"/>
      <c r="V23" s="106"/>
      <c r="W23" s="108"/>
      <c r="X23" s="109"/>
      <c r="Y23" s="109"/>
      <c r="Z23" s="110" t="s">
        <v>15</v>
      </c>
    </row>
    <row r="24" spans="2:26" x14ac:dyDescent="0.25">
      <c r="B24" s="112"/>
      <c r="C24" s="113" t="s">
        <v>12</v>
      </c>
      <c r="D24" s="114"/>
      <c r="E24" s="113"/>
      <c r="F24" s="124"/>
      <c r="G24" s="124"/>
      <c r="H24" s="124"/>
      <c r="I24" s="124"/>
      <c r="J24" s="124">
        <f>SUM(J17:J22)</f>
        <v>335000</v>
      </c>
      <c r="K24" s="124"/>
      <c r="L24" s="124"/>
      <c r="M24" s="124">
        <f>SUM(M17:M22)</f>
        <v>412500</v>
      </c>
      <c r="N24" s="143"/>
      <c r="O24" s="143"/>
      <c r="P24" s="143">
        <f>SUM(P17:P22)</f>
        <v>275000</v>
      </c>
      <c r="Q24" s="124"/>
      <c r="R24" s="124"/>
      <c r="S24" s="124">
        <f>SUM(S17:S22)</f>
        <v>562500</v>
      </c>
      <c r="T24" s="124"/>
      <c r="U24" s="124"/>
      <c r="V24" s="124"/>
      <c r="W24" s="124">
        <f>SUM(W17:W22)</f>
        <v>437500</v>
      </c>
      <c r="X24" s="124"/>
      <c r="Y24" s="124"/>
      <c r="Z24" s="125">
        <f>SUM(Z17:Z22)</f>
        <v>300000</v>
      </c>
    </row>
    <row r="25" spans="2:26" x14ac:dyDescent="0.25">
      <c r="B25" s="99"/>
      <c r="C25" s="7" t="s">
        <v>82</v>
      </c>
      <c r="D25" s="40">
        <v>0.18</v>
      </c>
      <c r="E25" s="7"/>
      <c r="F25" s="126"/>
      <c r="G25" s="126"/>
      <c r="H25" s="126"/>
      <c r="I25" s="126"/>
      <c r="J25" s="126">
        <f>J24*D25</f>
        <v>60300</v>
      </c>
      <c r="K25" s="126"/>
      <c r="L25" s="126"/>
      <c r="M25" s="126">
        <f>M24*D25</f>
        <v>74250</v>
      </c>
      <c r="N25" s="144"/>
      <c r="O25" s="144"/>
      <c r="P25" s="144">
        <f>P24*D25</f>
        <v>49500</v>
      </c>
      <c r="Q25" s="126"/>
      <c r="R25" s="126"/>
      <c r="S25" s="126">
        <f>S24*D25</f>
        <v>101250</v>
      </c>
      <c r="T25" s="126"/>
      <c r="U25" s="126"/>
      <c r="V25" s="126"/>
      <c r="W25" s="126">
        <f>W24*D25</f>
        <v>78750</v>
      </c>
      <c r="X25" s="126"/>
      <c r="Y25" s="126"/>
      <c r="Z25" s="127">
        <f>Z24*D25</f>
        <v>54000</v>
      </c>
    </row>
    <row r="26" spans="2:26" ht="15.75" thickBot="1" x14ac:dyDescent="0.3">
      <c r="B26" s="115"/>
      <c r="C26" s="116" t="s">
        <v>13</v>
      </c>
      <c r="D26" s="117"/>
      <c r="E26" s="116"/>
      <c r="F26" s="128"/>
      <c r="G26" s="128"/>
      <c r="H26" s="128"/>
      <c r="I26" s="128"/>
      <c r="J26" s="128">
        <f>J24+J25</f>
        <v>395300</v>
      </c>
      <c r="K26" s="128"/>
      <c r="L26" s="128"/>
      <c r="M26" s="128">
        <f>M24+M25</f>
        <v>486750</v>
      </c>
      <c r="N26" s="145"/>
      <c r="O26" s="145"/>
      <c r="P26" s="145">
        <f>P24+P25</f>
        <v>324500</v>
      </c>
      <c r="Q26" s="128"/>
      <c r="R26" s="128"/>
      <c r="S26" s="128">
        <f>S24+S25</f>
        <v>663750</v>
      </c>
      <c r="T26" s="128"/>
      <c r="U26" s="128"/>
      <c r="V26" s="128"/>
      <c r="W26" s="128">
        <f>W24+W25</f>
        <v>516250</v>
      </c>
      <c r="X26" s="128"/>
      <c r="Y26" s="128"/>
      <c r="Z26" s="129">
        <f>Z24+Z25</f>
        <v>354000</v>
      </c>
    </row>
    <row r="27" spans="2:26" ht="36.75" x14ac:dyDescent="0.25">
      <c r="B27" s="98"/>
      <c r="C27" s="111" t="s">
        <v>50</v>
      </c>
      <c r="D27" s="50"/>
      <c r="E27" s="49"/>
      <c r="F27" s="171" t="s">
        <v>65</v>
      </c>
      <c r="G27" s="171"/>
      <c r="H27" s="171"/>
      <c r="I27" s="171"/>
      <c r="J27" s="171"/>
      <c r="K27" s="171" t="s">
        <v>63</v>
      </c>
      <c r="L27" s="171"/>
      <c r="M27" s="171"/>
      <c r="N27" s="172" t="s">
        <v>65</v>
      </c>
      <c r="O27" s="172"/>
      <c r="P27" s="172"/>
      <c r="Q27" s="171" t="s">
        <v>65</v>
      </c>
      <c r="R27" s="171"/>
      <c r="S27" s="171"/>
      <c r="T27" s="171" t="s">
        <v>65</v>
      </c>
      <c r="U27" s="171"/>
      <c r="V27" s="171"/>
      <c r="W27" s="171"/>
      <c r="X27" s="171" t="s">
        <v>66</v>
      </c>
      <c r="Y27" s="171"/>
      <c r="Z27" s="175"/>
    </row>
    <row r="28" spans="2:26" ht="48.75" x14ac:dyDescent="0.25">
      <c r="B28" s="100"/>
      <c r="C28" s="41" t="s">
        <v>49</v>
      </c>
      <c r="D28" s="10"/>
      <c r="E28" s="9"/>
      <c r="F28" s="176" t="s">
        <v>66</v>
      </c>
      <c r="G28" s="176"/>
      <c r="H28" s="176"/>
      <c r="I28" s="176"/>
      <c r="J28" s="176"/>
      <c r="K28" s="176" t="s">
        <v>66</v>
      </c>
      <c r="L28" s="176"/>
      <c r="M28" s="176"/>
      <c r="N28" s="177" t="s">
        <v>66</v>
      </c>
      <c r="O28" s="177"/>
      <c r="P28" s="177"/>
      <c r="Q28" s="176" t="s">
        <v>66</v>
      </c>
      <c r="R28" s="176"/>
      <c r="S28" s="176"/>
      <c r="T28" s="176" t="s">
        <v>66</v>
      </c>
      <c r="U28" s="176"/>
      <c r="V28" s="176"/>
      <c r="W28" s="176"/>
      <c r="X28" s="176" t="s">
        <v>66</v>
      </c>
      <c r="Y28" s="176"/>
      <c r="Z28" s="178"/>
    </row>
    <row r="29" spans="2:26" ht="48.75" x14ac:dyDescent="0.25">
      <c r="B29" s="100"/>
      <c r="C29" s="41" t="s">
        <v>38</v>
      </c>
      <c r="D29" s="10"/>
      <c r="E29" s="9"/>
      <c r="F29" s="173" t="s">
        <v>73</v>
      </c>
      <c r="G29" s="173"/>
      <c r="H29" s="173"/>
      <c r="I29" s="173"/>
      <c r="J29" s="173"/>
      <c r="K29" s="179" t="s">
        <v>92</v>
      </c>
      <c r="L29" s="179"/>
      <c r="M29" s="179"/>
      <c r="N29" s="180" t="s">
        <v>69</v>
      </c>
      <c r="O29" s="180"/>
      <c r="P29" s="180"/>
      <c r="Q29" s="173" t="s">
        <v>52</v>
      </c>
      <c r="R29" s="173"/>
      <c r="S29" s="173"/>
      <c r="T29" s="173" t="s">
        <v>87</v>
      </c>
      <c r="U29" s="173"/>
      <c r="V29" s="173"/>
      <c r="W29" s="173"/>
      <c r="X29" s="173" t="s">
        <v>76</v>
      </c>
      <c r="Y29" s="173"/>
      <c r="Z29" s="174"/>
    </row>
    <row r="30" spans="2:26" ht="36.75" x14ac:dyDescent="0.25">
      <c r="B30" s="57"/>
      <c r="C30" s="41" t="s">
        <v>18</v>
      </c>
      <c r="D30" s="21" t="s">
        <v>19</v>
      </c>
      <c r="E30" s="19"/>
      <c r="F30" s="176" t="s">
        <v>57</v>
      </c>
      <c r="G30" s="176"/>
      <c r="H30" s="176"/>
      <c r="I30" s="176"/>
      <c r="J30" s="176"/>
      <c r="K30" s="176" t="s">
        <v>24</v>
      </c>
      <c r="L30" s="176"/>
      <c r="M30" s="176"/>
      <c r="N30" s="177" t="s">
        <v>28</v>
      </c>
      <c r="O30" s="177"/>
      <c r="P30" s="177"/>
      <c r="Q30" s="176" t="s">
        <v>28</v>
      </c>
      <c r="R30" s="176"/>
      <c r="S30" s="176"/>
      <c r="T30" s="176" t="s">
        <v>57</v>
      </c>
      <c r="U30" s="176"/>
      <c r="V30" s="176"/>
      <c r="W30" s="176"/>
      <c r="X30" s="176" t="s">
        <v>24</v>
      </c>
      <c r="Y30" s="176"/>
      <c r="Z30" s="178"/>
    </row>
    <row r="31" spans="2:26" ht="36.75" x14ac:dyDescent="0.25">
      <c r="B31" s="57"/>
      <c r="C31" s="41" t="s">
        <v>20</v>
      </c>
      <c r="D31" s="21" t="s">
        <v>19</v>
      </c>
      <c r="E31" s="19"/>
      <c r="F31" s="176" t="s">
        <v>57</v>
      </c>
      <c r="G31" s="176"/>
      <c r="H31" s="176"/>
      <c r="I31" s="176"/>
      <c r="J31" s="176"/>
      <c r="K31" s="176" t="s">
        <v>24</v>
      </c>
      <c r="L31" s="176"/>
      <c r="M31" s="176"/>
      <c r="N31" s="177" t="s">
        <v>24</v>
      </c>
      <c r="O31" s="177"/>
      <c r="P31" s="177"/>
      <c r="Q31" s="176" t="s">
        <v>28</v>
      </c>
      <c r="R31" s="176"/>
      <c r="S31" s="176"/>
      <c r="T31" s="176" t="s">
        <v>58</v>
      </c>
      <c r="U31" s="176"/>
      <c r="V31" s="176"/>
      <c r="W31" s="176"/>
      <c r="X31" s="176" t="s">
        <v>24</v>
      </c>
      <c r="Y31" s="176"/>
      <c r="Z31" s="178"/>
    </row>
    <row r="32" spans="2:26" ht="24.75" x14ac:dyDescent="0.25">
      <c r="B32" s="57"/>
      <c r="C32" s="41" t="s">
        <v>21</v>
      </c>
      <c r="D32" s="21" t="s">
        <v>15</v>
      </c>
      <c r="E32" s="19"/>
      <c r="F32" s="176" t="s">
        <v>22</v>
      </c>
      <c r="G32" s="176"/>
      <c r="H32" s="176"/>
      <c r="I32" s="176"/>
      <c r="J32" s="176"/>
      <c r="K32" s="176" t="s">
        <v>22</v>
      </c>
      <c r="L32" s="176"/>
      <c r="M32" s="176"/>
      <c r="N32" s="177" t="s">
        <v>22</v>
      </c>
      <c r="O32" s="177"/>
      <c r="P32" s="177"/>
      <c r="Q32" s="176" t="s">
        <v>22</v>
      </c>
      <c r="R32" s="176"/>
      <c r="S32" s="176"/>
      <c r="T32" s="176" t="s">
        <v>22</v>
      </c>
      <c r="U32" s="176"/>
      <c r="V32" s="176"/>
      <c r="W32" s="176"/>
      <c r="X32" s="176" t="s">
        <v>22</v>
      </c>
      <c r="Y32" s="176"/>
      <c r="Z32" s="178"/>
    </row>
    <row r="33" spans="2:26" x14ac:dyDescent="0.25">
      <c r="B33" s="100"/>
      <c r="C33" s="25" t="s">
        <v>35</v>
      </c>
      <c r="D33" s="10"/>
      <c r="E33" s="9"/>
      <c r="F33" s="181" t="s">
        <v>95</v>
      </c>
      <c r="G33" s="181"/>
      <c r="H33" s="181"/>
      <c r="I33" s="181"/>
      <c r="J33" s="181"/>
      <c r="K33" s="181" t="s">
        <v>67</v>
      </c>
      <c r="L33" s="181"/>
      <c r="M33" s="181"/>
      <c r="N33" s="177" t="s">
        <v>70</v>
      </c>
      <c r="O33" s="177"/>
      <c r="P33" s="177"/>
      <c r="Q33" s="176" t="s">
        <v>68</v>
      </c>
      <c r="R33" s="176"/>
      <c r="S33" s="176"/>
      <c r="T33" s="181" t="s">
        <v>89</v>
      </c>
      <c r="U33" s="181"/>
      <c r="V33" s="181"/>
      <c r="W33" s="181"/>
      <c r="X33" s="181" t="s">
        <v>79</v>
      </c>
      <c r="Y33" s="181"/>
      <c r="Z33" s="182"/>
    </row>
    <row r="34" spans="2:26" x14ac:dyDescent="0.25">
      <c r="B34" s="100"/>
      <c r="C34" s="25" t="s">
        <v>36</v>
      </c>
      <c r="D34" s="10"/>
      <c r="E34" s="9"/>
      <c r="F34" s="176" t="s">
        <v>37</v>
      </c>
      <c r="G34" s="176"/>
      <c r="H34" s="176"/>
      <c r="I34" s="176"/>
      <c r="J34" s="176"/>
      <c r="K34" s="176" t="s">
        <v>37</v>
      </c>
      <c r="L34" s="176"/>
      <c r="M34" s="176"/>
      <c r="N34" s="177" t="s">
        <v>37</v>
      </c>
      <c r="O34" s="177"/>
      <c r="P34" s="177"/>
      <c r="Q34" s="176" t="s">
        <v>37</v>
      </c>
      <c r="R34" s="176"/>
      <c r="S34" s="176"/>
      <c r="T34" s="176" t="s">
        <v>37</v>
      </c>
      <c r="U34" s="176"/>
      <c r="V34" s="176"/>
      <c r="W34" s="176"/>
      <c r="X34" s="176" t="s">
        <v>37</v>
      </c>
      <c r="Y34" s="176"/>
      <c r="Z34" s="178"/>
    </row>
    <row r="35" spans="2:26" x14ac:dyDescent="0.25">
      <c r="B35" s="100"/>
      <c r="C35" s="25" t="s">
        <v>46</v>
      </c>
      <c r="D35" s="10" t="s">
        <v>48</v>
      </c>
      <c r="E35" s="9"/>
      <c r="F35" s="176" t="s">
        <v>109</v>
      </c>
      <c r="G35" s="176"/>
      <c r="H35" s="176"/>
      <c r="I35" s="176"/>
      <c r="J35" s="176"/>
      <c r="K35" s="176" t="s">
        <v>64</v>
      </c>
      <c r="L35" s="176"/>
      <c r="M35" s="176"/>
      <c r="N35" s="177" t="s">
        <v>54</v>
      </c>
      <c r="O35" s="177"/>
      <c r="P35" s="177"/>
      <c r="Q35" s="176" t="s">
        <v>47</v>
      </c>
      <c r="R35" s="176"/>
      <c r="S35" s="176"/>
      <c r="T35" s="176" t="s">
        <v>55</v>
      </c>
      <c r="U35" s="176"/>
      <c r="V35" s="176"/>
      <c r="W35" s="176"/>
      <c r="X35" s="176" t="s">
        <v>70</v>
      </c>
      <c r="Y35" s="176"/>
      <c r="Z35" s="178"/>
    </row>
    <row r="36" spans="2:26" x14ac:dyDescent="0.25">
      <c r="B36" s="100"/>
      <c r="C36" s="25" t="s">
        <v>71</v>
      </c>
      <c r="D36" s="10"/>
      <c r="E36" s="9"/>
      <c r="F36" s="176" t="s">
        <v>84</v>
      </c>
      <c r="G36" s="176"/>
      <c r="H36" s="176"/>
      <c r="I36" s="176"/>
      <c r="J36" s="176"/>
      <c r="K36" s="189" t="s">
        <v>84</v>
      </c>
      <c r="L36" s="190"/>
      <c r="M36" s="191"/>
      <c r="N36" s="192" t="s">
        <v>91</v>
      </c>
      <c r="O36" s="192"/>
      <c r="P36" s="192"/>
      <c r="Q36" s="189" t="s">
        <v>84</v>
      </c>
      <c r="R36" s="190"/>
      <c r="S36" s="191"/>
      <c r="T36" s="176" t="s">
        <v>84</v>
      </c>
      <c r="U36" s="176"/>
      <c r="V36" s="176"/>
      <c r="W36" s="176"/>
      <c r="X36" s="176" t="s">
        <v>84</v>
      </c>
      <c r="Y36" s="176"/>
      <c r="Z36" s="178"/>
    </row>
    <row r="37" spans="2:26" ht="15.75" thickBot="1" x14ac:dyDescent="0.3">
      <c r="B37" s="101"/>
      <c r="C37" s="102" t="s">
        <v>72</v>
      </c>
      <c r="D37" s="103"/>
      <c r="E37" s="104"/>
      <c r="F37" s="183" t="s">
        <v>108</v>
      </c>
      <c r="G37" s="183"/>
      <c r="H37" s="183"/>
      <c r="I37" s="183"/>
      <c r="J37" s="183"/>
      <c r="K37" s="184" t="s">
        <v>83</v>
      </c>
      <c r="L37" s="185"/>
      <c r="M37" s="186"/>
      <c r="N37" s="187" t="s">
        <v>83</v>
      </c>
      <c r="O37" s="187"/>
      <c r="P37" s="187"/>
      <c r="Q37" s="184" t="s">
        <v>83</v>
      </c>
      <c r="R37" s="185"/>
      <c r="S37" s="186"/>
      <c r="T37" s="183" t="s">
        <v>83</v>
      </c>
      <c r="U37" s="183"/>
      <c r="V37" s="183"/>
      <c r="W37" s="183"/>
      <c r="X37" s="183" t="s">
        <v>83</v>
      </c>
      <c r="Y37" s="183"/>
      <c r="Z37" s="188"/>
    </row>
    <row r="45" spans="2:26" ht="21" x14ac:dyDescent="0.35">
      <c r="B45" s="11"/>
      <c r="C45" s="12" t="s">
        <v>97</v>
      </c>
      <c r="D45" s="11"/>
      <c r="E45" s="11"/>
      <c r="F45" s="11"/>
      <c r="G45" s="11"/>
      <c r="H45" s="11" t="s">
        <v>100</v>
      </c>
      <c r="I45" s="11"/>
      <c r="J45" s="11"/>
      <c r="K45" s="11"/>
      <c r="L45" s="11"/>
      <c r="M45" s="17"/>
      <c r="N45" s="11"/>
      <c r="O45" s="11"/>
      <c r="P45" s="11" t="s">
        <v>98</v>
      </c>
      <c r="Q45" s="11"/>
      <c r="R45" s="11"/>
      <c r="S45" s="17"/>
      <c r="T45" s="11"/>
      <c r="U45" s="11"/>
      <c r="V45" s="11"/>
      <c r="W45" s="11" t="s">
        <v>99</v>
      </c>
      <c r="X45" s="11"/>
      <c r="Y45" s="11"/>
      <c r="Z45" s="11"/>
    </row>
  </sheetData>
  <mergeCells count="97">
    <mergeCell ref="X36:Z36"/>
    <mergeCell ref="F37:J37"/>
    <mergeCell ref="K37:M37"/>
    <mergeCell ref="N37:P37"/>
    <mergeCell ref="Q37:S37"/>
    <mergeCell ref="T37:W37"/>
    <mergeCell ref="X37:Z37"/>
    <mergeCell ref="F36:J36"/>
    <mergeCell ref="K36:M36"/>
    <mergeCell ref="N36:P36"/>
    <mergeCell ref="Q36:S36"/>
    <mergeCell ref="T36:W36"/>
    <mergeCell ref="X35:Z35"/>
    <mergeCell ref="F34:J34"/>
    <mergeCell ref="K34:M34"/>
    <mergeCell ref="N34:P34"/>
    <mergeCell ref="Q34:S34"/>
    <mergeCell ref="T34:W34"/>
    <mergeCell ref="X34:Z34"/>
    <mergeCell ref="F35:J35"/>
    <mergeCell ref="K35:M35"/>
    <mergeCell ref="N35:P35"/>
    <mergeCell ref="Q35:S35"/>
    <mergeCell ref="T35:W35"/>
    <mergeCell ref="X33:Z33"/>
    <mergeCell ref="F33:J33"/>
    <mergeCell ref="K33:M33"/>
    <mergeCell ref="N33:P33"/>
    <mergeCell ref="Q33:S33"/>
    <mergeCell ref="T33:W33"/>
    <mergeCell ref="Q31:S31"/>
    <mergeCell ref="T31:W31"/>
    <mergeCell ref="X31:Z31"/>
    <mergeCell ref="F30:J30"/>
    <mergeCell ref="K30:M30"/>
    <mergeCell ref="N30:P30"/>
    <mergeCell ref="X30:Z30"/>
    <mergeCell ref="F31:J31"/>
    <mergeCell ref="K31:M31"/>
    <mergeCell ref="N31:P31"/>
    <mergeCell ref="Q30:S30"/>
    <mergeCell ref="T30:W30"/>
    <mergeCell ref="X32:Z32"/>
    <mergeCell ref="F32:J32"/>
    <mergeCell ref="K32:M32"/>
    <mergeCell ref="N32:P32"/>
    <mergeCell ref="Q32:S32"/>
    <mergeCell ref="T32:W32"/>
    <mergeCell ref="X29:Z29"/>
    <mergeCell ref="X27:Z27"/>
    <mergeCell ref="F28:J28"/>
    <mergeCell ref="K28:M28"/>
    <mergeCell ref="N28:P28"/>
    <mergeCell ref="Q28:S28"/>
    <mergeCell ref="T28:W28"/>
    <mergeCell ref="X28:Z28"/>
    <mergeCell ref="T27:W27"/>
    <mergeCell ref="F29:J29"/>
    <mergeCell ref="K29:M29"/>
    <mergeCell ref="N29:P29"/>
    <mergeCell ref="Q29:S29"/>
    <mergeCell ref="T29:W29"/>
    <mergeCell ref="Q8:S8"/>
    <mergeCell ref="T8:W8"/>
    <mergeCell ref="X8:Z8"/>
    <mergeCell ref="F7:J7"/>
    <mergeCell ref="K7:M7"/>
    <mergeCell ref="N7:P7"/>
    <mergeCell ref="Q7:S7"/>
    <mergeCell ref="T7:W7"/>
    <mergeCell ref="X7:Z7"/>
    <mergeCell ref="F8:J8"/>
    <mergeCell ref="K8:M8"/>
    <mergeCell ref="N8:P8"/>
    <mergeCell ref="U18:V18"/>
    <mergeCell ref="F27:J27"/>
    <mergeCell ref="K27:M27"/>
    <mergeCell ref="N27:P27"/>
    <mergeCell ref="Q27:S27"/>
    <mergeCell ref="X6:Z6"/>
    <mergeCell ref="F5:J5"/>
    <mergeCell ref="K5:M5"/>
    <mergeCell ref="N5:P5"/>
    <mergeCell ref="Q5:S5"/>
    <mergeCell ref="T5:W5"/>
    <mergeCell ref="X5:Z5"/>
    <mergeCell ref="F6:J6"/>
    <mergeCell ref="K6:M6"/>
    <mergeCell ref="N6:P6"/>
    <mergeCell ref="Q6:S6"/>
    <mergeCell ref="T6:W6"/>
    <mergeCell ref="X4:Z4"/>
    <mergeCell ref="F4:J4"/>
    <mergeCell ref="K4:M4"/>
    <mergeCell ref="N4:P4"/>
    <mergeCell ref="Q4:S4"/>
    <mergeCell ref="T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LMO_Final Working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cp:lastPrinted>2026-07-22T09:46:37Z</cp:lastPrinted>
  <dcterms:created xsi:type="dcterms:W3CDTF">2015-06-05T18:17:20Z</dcterms:created>
  <dcterms:modified xsi:type="dcterms:W3CDTF">2026-08-24T12:21:42Z</dcterms:modified>
</cp:coreProperties>
</file>